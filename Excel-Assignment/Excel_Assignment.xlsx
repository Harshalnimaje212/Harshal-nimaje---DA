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dia\Desktop\Harshal Nimaje\Assignment\Excel-Assignment\"/>
    </mc:Choice>
  </mc:AlternateContent>
  <xr:revisionPtr revIDLastSave="0" documentId="8_{BD2C9B82-81D9-4BC0-861F-C11B86CAB1D9}" xr6:coauthVersionLast="47" xr6:coauthVersionMax="47" xr10:uidLastSave="{00000000-0000-0000-0000-000000000000}"/>
  <bookViews>
    <workbookView xWindow="-120" yWindow="-120" windowWidth="20730" windowHeight="11160" tabRatio="931" firstSheet="16" activeTab="23" xr2:uid="{00000000-000D-0000-FFFF-FFFF00000000}"/>
  </bookViews>
  <sheets>
    <sheet name="AVERAGE 1 - Question" sheetId="1" r:id="rId1"/>
    <sheet name="AVERAGE 3 - Question" sheetId="2" r:id="rId2"/>
    <sheet name="COUNT 1 - Question" sheetId="3" r:id="rId3"/>
    <sheet name="COUNT 2 - Question" sheetId="4" r:id="rId4"/>
    <sheet name="COUNT 3 - Question" sheetId="5" r:id="rId5"/>
    <sheet name="MAX MIN 1 - Question" sheetId="6" r:id="rId6"/>
    <sheet name="MAX MIN 2 - Question" sheetId="7" r:id="rId7"/>
    <sheet name="MAX MIN 3 - Question" sheetId="8" r:id="rId8"/>
    <sheet name="HLOOKUP - Question" sheetId="10" r:id="rId9"/>
    <sheet name="IF 1 - Question" sheetId="11" r:id="rId10"/>
    <sheet name="IF 2 - Question" sheetId="12" r:id="rId11"/>
    <sheet name="IF 3 - Question" sheetId="13" r:id="rId12"/>
    <sheet name="IF 4 - Question" sheetId="14" r:id="rId13"/>
    <sheet name="MATH 1 - Question" sheetId="15" r:id="rId14"/>
    <sheet name="SUM 1 - Question" sheetId="16" r:id="rId15"/>
    <sheet name="SUM 2 - Question" sheetId="17" r:id="rId16"/>
    <sheet name="SUM 3 - Question" sheetId="18" r:id="rId17"/>
    <sheet name="SUMIF 1 - Question" sheetId="20" r:id="rId18"/>
    <sheet name="SUMIF2 Questions" sheetId="21" r:id="rId19"/>
    <sheet name="Nested IF 1 - Question" sheetId="19" r:id="rId20"/>
    <sheet name="VLOOKUP-Approximate Match" sheetId="22" r:id="rId21"/>
    <sheet name="VLOOKUP 1 - Question" sheetId="23" r:id="rId22"/>
    <sheet name="VLOOUP 2A Questions" sheetId="24" r:id="rId23"/>
    <sheet name="Sheet11" sheetId="25" r:id="rId24"/>
    <sheet name="Sheet12" sheetId="26" r:id="rId25"/>
    <sheet name="Sheet13" sheetId="27" r:id="rId26"/>
    <sheet name="Sheet14" sheetId="28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4" l="1"/>
  <c r="C30" i="24"/>
  <c r="C19" i="24"/>
  <c r="C32" i="23"/>
  <c r="C33" i="23"/>
  <c r="C31" i="23"/>
  <c r="C25" i="23"/>
  <c r="C26" i="23"/>
  <c r="C24" i="23"/>
  <c r="E19" i="23"/>
  <c r="E17" i="23"/>
  <c r="B9" i="22"/>
  <c r="B10" i="22"/>
  <c r="B8" i="22"/>
  <c r="C10" i="19"/>
  <c r="C11" i="19"/>
  <c r="C12" i="19"/>
  <c r="C9" i="19"/>
  <c r="C40" i="21" l="1"/>
  <c r="C29" i="21"/>
  <c r="C18" i="21"/>
  <c r="H21" i="20"/>
  <c r="H20" i="20"/>
  <c r="H18" i="20"/>
  <c r="H16" i="20"/>
  <c r="H15" i="20"/>
  <c r="C20" i="18"/>
  <c r="C19" i="18"/>
  <c r="C4" i="18"/>
  <c r="C16" i="18"/>
  <c r="C13" i="18"/>
  <c r="C10" i="18"/>
  <c r="C7" i="18"/>
  <c r="B95" i="17"/>
  <c r="B18" i="16"/>
  <c r="D25" i="15"/>
  <c r="D24" i="15"/>
  <c r="D20" i="15"/>
  <c r="D19" i="15"/>
  <c r="D18" i="15"/>
  <c r="D14" i="15"/>
  <c r="D13" i="15"/>
  <c r="D12" i="15"/>
  <c r="D11" i="15"/>
  <c r="D11" i="14"/>
  <c r="D12" i="14"/>
  <c r="D13" i="14"/>
  <c r="D14" i="14"/>
  <c r="D15" i="14"/>
  <c r="D16" i="14"/>
  <c r="D17" i="14"/>
  <c r="F10" i="13"/>
  <c r="F11" i="13"/>
  <c r="F12" i="13"/>
  <c r="F13" i="13"/>
  <c r="F14" i="13"/>
  <c r="F15" i="13"/>
  <c r="F16" i="13"/>
  <c r="F9" i="13"/>
  <c r="E10" i="13"/>
  <c r="E11" i="13"/>
  <c r="E12" i="13"/>
  <c r="E13" i="13"/>
  <c r="E14" i="13"/>
  <c r="E15" i="13"/>
  <c r="E16" i="13"/>
  <c r="E9" i="13"/>
  <c r="D8" i="12"/>
  <c r="D9" i="12"/>
  <c r="D10" i="12"/>
  <c r="D7" i="12"/>
  <c r="C8" i="11"/>
  <c r="C9" i="11"/>
  <c r="C10" i="11"/>
  <c r="C7" i="11"/>
  <c r="C33" i="10"/>
  <c r="C23" i="10"/>
  <c r="C12" i="10"/>
  <c r="C12" i="8"/>
  <c r="G11" i="7"/>
  <c r="G10" i="7"/>
  <c r="G9" i="7"/>
  <c r="G8" i="7"/>
  <c r="C14" i="6"/>
  <c r="C13" i="6"/>
  <c r="C12" i="6"/>
  <c r="B27" i="5"/>
  <c r="B24" i="5"/>
  <c r="B21" i="5"/>
  <c r="B18" i="5"/>
  <c r="B27" i="4"/>
  <c r="B21" i="4"/>
  <c r="B18" i="3"/>
  <c r="B15" i="3"/>
  <c r="B24" i="2"/>
  <c r="B23" i="2"/>
  <c r="B18" i="2"/>
  <c r="B17" i="2"/>
  <c r="B16" i="2"/>
  <c r="D22" i="1"/>
  <c r="D20" i="1"/>
  <c r="D18" i="1"/>
  <c r="D16" i="1"/>
</calcChain>
</file>

<file path=xl/sharedStrings.xml><?xml version="1.0" encoding="utf-8"?>
<sst xmlns="http://schemas.openxmlformats.org/spreadsheetml/2006/main" count="801" uniqueCount="527">
  <si>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</si>
  <si>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</si>
  <si>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</si>
  <si>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</si>
  <si>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</si>
  <si>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</si>
  <si>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</si>
  <si>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</si>
  <si>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</si>
  <si>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</si>
  <si>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</si>
  <si>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</si>
  <si>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</si>
  <si>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</si>
  <si>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</si>
  <si>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</si>
  <si>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</si>
  <si>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</si>
  <si>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</si>
  <si>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</si>
  <si>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</si>
  <si>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</si>
  <si>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</si>
  <si>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</si>
  <si>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</si>
  <si>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</si>
  <si>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</si>
  <si>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</si>
  <si>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</si>
  <si>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</si>
  <si>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</si>
  <si>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</si>
  <si>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</si>
  <si>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</si>
  <si>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</si>
  <si>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</si>
  <si>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</si>
  <si>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</si>
  <si>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</si>
  <si>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</si>
  <si>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</si>
  <si>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</si>
  <si>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</si>
  <si>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</si>
  <si>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</si>
  <si>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</si>
  <si>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</si>
  <si>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</si>
  <si>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</si>
  <si>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</si>
  <si>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</si>
  <si>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</si>
  <si>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</si>
  <si>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</si>
  <si>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</si>
  <si>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</si>
  <si>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</si>
  <si>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</si>
  <si>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</si>
  <si>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</si>
  <si>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</si>
  <si>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</si>
  <si>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</si>
  <si>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</si>
  <si>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</si>
  <si>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</si>
  <si>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</si>
  <si>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</si>
  <si>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</si>
  <si>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</si>
  <si>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</si>
  <si>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</si>
  <si>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</si>
  <si>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</si>
  <si>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</si>
  <si>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How many numerical answers appear in column C - Amount?</t>
  </si>
  <si>
    <t>COUNT returns the number of cells with a number.</t>
  </si>
  <si>
    <t>How many non-blank answers (numbers and letters) appear in column C?</t>
  </si>
  <si>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</si>
  <si>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</si>
  <si>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</si>
  <si>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</si>
  <si>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</si>
  <si>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</si>
  <si>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</si>
  <si>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</si>
  <si>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</si>
  <si>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</si>
  <si>
    <t>MAX, MIN and Average</t>
  </si>
  <si>
    <t>Sumo wrestlers contest - Names and Weights</t>
  </si>
  <si>
    <t>Use max, min and average formulas to answer the following questions.</t>
  </si>
  <si>
    <t>Ishaymoto</t>
  </si>
  <si>
    <t>Solomoto</t>
  </si>
  <si>
    <t>Greenko</t>
  </si>
  <si>
    <t>Dinamito</t>
  </si>
  <si>
    <t>Shlomtzi</t>
  </si>
  <si>
    <t>Oveidyudo</t>
  </si>
  <si>
    <t>What is the maximum weight of a wrestler?</t>
  </si>
  <si>
    <t>What is the minimum weight of a wrestler?</t>
  </si>
  <si>
    <t>What is the average between the maximum and the minimum? (mid range)</t>
  </si>
  <si>
    <t>The following table contains details about the scores of 4 students in a driving theory test. If a student fails at least one test - she or he needs to retake the course.</t>
  </si>
  <si>
    <t>Use IF and MAX/MIN to check if a student passed the test</t>
  </si>
  <si>
    <t>1. if the lowest score is lower than 50 - return "fail"</t>
  </si>
  <si>
    <t>2. else - return "pass"</t>
  </si>
  <si>
    <t>Test 1</t>
  </si>
  <si>
    <t>Test 2</t>
  </si>
  <si>
    <t>Test 3</t>
  </si>
  <si>
    <t>Test 4</t>
  </si>
  <si>
    <t>Johnny</t>
  </si>
  <si>
    <t>Georgy</t>
  </si>
  <si>
    <t>Ofri</t>
  </si>
  <si>
    <t>Dani</t>
  </si>
  <si>
    <t xml:space="preserve">IF at least one student got 99 points or more in a test - the test considered easy, </t>
  </si>
  <si>
    <t>Use MAX and IF to create a logic that checks if the test was "Easy" or not</t>
  </si>
  <si>
    <t>Johny</t>
  </si>
  <si>
    <t>Lev</t>
  </si>
  <si>
    <t>Yoav</t>
  </si>
  <si>
    <t>Chen</t>
  </si>
  <si>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</si>
  <si>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</si>
  <si>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</si>
  <si>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</si>
  <si>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</si>
  <si>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</si>
  <si>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</si>
  <si>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</si>
  <si>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</si>
  <si>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</si>
  <si>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</si>
  <si>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</si>
  <si>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</si>
  <si>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</si>
  <si>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</si>
  <si>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</si>
  <si>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</si>
  <si>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</si>
  <si>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</si>
  <si>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</si>
  <si>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</si>
  <si>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</si>
  <si>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</si>
  <si>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</si>
  <si>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</si>
  <si>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</si>
  <si>
    <t>Table A contains names and their respective grades for Excel 101 Course</t>
  </si>
  <si>
    <t>Complete column C using only IF formula</t>
  </si>
  <si>
    <t>Grade 60 or higher = Pass</t>
  </si>
  <si>
    <t>Grade less than 60 = Fail</t>
  </si>
  <si>
    <t>Grade</t>
  </si>
  <si>
    <t>Pass/Fail</t>
  </si>
  <si>
    <t>Adi</t>
  </si>
  <si>
    <t>Beni</t>
  </si>
  <si>
    <t>Charlie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</si>
  <si>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</si>
  <si>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</si>
  <si>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</si>
  <si>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</si>
  <si>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</si>
  <si>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</si>
  <si>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</si>
  <si>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</si>
  <si>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</si>
  <si>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</si>
  <si>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</si>
  <si>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</si>
  <si>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</si>
  <si>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</si>
  <si>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</si>
  <si>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</si>
  <si>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</si>
  <si>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</si>
  <si>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</si>
  <si>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</si>
  <si>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</si>
  <si>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</si>
  <si>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</si>
  <si>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</si>
  <si>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</si>
  <si>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</si>
  <si>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</si>
  <si>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</si>
  <si>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</si>
  <si>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</si>
  <si>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</si>
  <si>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</si>
  <si>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</si>
  <si>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</si>
  <si>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</si>
  <si>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</si>
  <si>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</si>
  <si>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</si>
  <si>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</si>
  <si>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</si>
  <si>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</si>
  <si>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In this module, we will focus on learning  how to make basic arithmetic operations using excel</t>
  </si>
  <si>
    <t>Use the following guidelines to calculate the statements below:</t>
  </si>
  <si>
    <t>=</t>
  </si>
  <si>
    <t>equals, use = sign before the formula to calculate a formula</t>
  </si>
  <si>
    <t>+</t>
  </si>
  <si>
    <t>plus</t>
  </si>
  <si>
    <t>-</t>
  </si>
  <si>
    <t>minus</t>
  </si>
  <si>
    <t>/</t>
  </si>
  <si>
    <t>divide</t>
  </si>
  <si>
    <t>*</t>
  </si>
  <si>
    <t>multiply</t>
  </si>
  <si>
    <t>%</t>
  </si>
  <si>
    <t>percentage sign (will divide the number by 100 if added after a value)</t>
  </si>
  <si>
    <t>Arithmertics</t>
  </si>
  <si>
    <t>Plus</t>
  </si>
  <si>
    <t>Minus</t>
  </si>
  <si>
    <t>Times</t>
  </si>
  <si>
    <t>Divided by</t>
  </si>
  <si>
    <t>Percentages using division of numbers</t>
  </si>
  <si>
    <t>Out of</t>
  </si>
  <si>
    <t>Calculate percentage of change</t>
  </si>
  <si>
    <t>Stock</t>
  </si>
  <si>
    <t>Price 2015</t>
  </si>
  <si>
    <t>Price 2016</t>
  </si>
  <si>
    <t>Year over Year % change</t>
  </si>
  <si>
    <t>Stock A</t>
  </si>
  <si>
    <t>Stock B</t>
  </si>
  <si>
    <t>Click here to view the Answers!</t>
  </si>
  <si>
    <t>The following table includes ABC company's revenue by month.</t>
  </si>
  <si>
    <t>The company's CFO asked you to use SUM formula to calculate the total revenue for the year.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</si>
  <si>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</si>
  <si>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</si>
  <si>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</si>
  <si>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</si>
  <si>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</si>
  <si>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</si>
  <si>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</si>
  <si>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</si>
  <si>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</si>
  <si>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</si>
  <si>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</si>
  <si>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</si>
  <si>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</si>
  <si>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</si>
  <si>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</si>
  <si>
    <t>The following table represents daily costs by day for the first quarter of 2015</t>
  </si>
  <si>
    <t>Calculate the total costs at the bottom of the table. Hint: to save time, use sum shortcuts.</t>
  </si>
  <si>
    <t>Date</t>
  </si>
  <si>
    <t>Costs</t>
  </si>
  <si>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</si>
  <si>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</si>
  <si>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</si>
  <si>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</si>
  <si>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</si>
  <si>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</si>
  <si>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</si>
  <si>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</si>
  <si>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</si>
  <si>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</si>
  <si>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</si>
  <si>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</si>
  <si>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</si>
  <si>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</si>
  <si>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</si>
  <si>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</si>
  <si>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</si>
  <si>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</si>
  <si>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</si>
  <si>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</si>
  <si>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</si>
  <si>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</si>
  <si>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</si>
  <si>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</si>
  <si>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</si>
  <si>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</si>
  <si>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</si>
  <si>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</si>
  <si>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</si>
  <si>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</si>
  <si>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</si>
  <si>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</si>
  <si>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</si>
  <si>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</si>
  <si>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</si>
  <si>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</si>
  <si>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</si>
  <si>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</si>
  <si>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</si>
  <si>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</si>
  <si>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</si>
  <si>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</si>
  <si>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</si>
  <si>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</si>
  <si>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</si>
  <si>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</si>
  <si>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</si>
  <si>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</si>
  <si>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</si>
  <si>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</si>
  <si>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</si>
  <si>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</si>
  <si>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</si>
  <si>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</si>
  <si>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</si>
  <si>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</si>
  <si>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</si>
  <si>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</si>
  <si>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</si>
  <si>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</si>
  <si>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</si>
  <si>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</si>
  <si>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</si>
  <si>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</si>
  <si>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</si>
  <si>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</si>
  <si>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</si>
  <si>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</si>
  <si>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</si>
  <si>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</si>
  <si>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</si>
  <si>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</si>
  <si>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</si>
  <si>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</si>
  <si>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</si>
  <si>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</si>
  <si>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</si>
  <si>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</si>
  <si>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</si>
  <si>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</si>
  <si>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</si>
  <si>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</si>
  <si>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</si>
  <si>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</si>
  <si>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</si>
  <si>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</si>
  <si>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</si>
  <si>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</si>
  <si>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</si>
  <si>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</si>
  <si>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</si>
  <si>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</si>
  <si>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</si>
  <si>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</si>
  <si>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</si>
  <si>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</si>
  <si>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</si>
  <si>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</si>
  <si>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</si>
  <si>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</si>
  <si>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</si>
  <si>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</si>
  <si>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</si>
  <si>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</si>
  <si>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</si>
  <si>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</si>
  <si>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</si>
  <si>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</si>
  <si>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</si>
  <si>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</si>
  <si>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</si>
  <si>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</si>
  <si>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</si>
  <si>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</si>
  <si>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</si>
  <si>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</si>
  <si>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</si>
  <si>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</si>
  <si>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</si>
  <si>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</si>
  <si>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</si>
  <si>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</si>
  <si>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</si>
  <si>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</si>
  <si>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</si>
  <si>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</si>
  <si>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</si>
  <si>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</si>
  <si>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</si>
  <si>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</si>
  <si>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</si>
  <si>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</si>
  <si>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</si>
  <si>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</si>
  <si>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</si>
  <si>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</si>
  <si>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</si>
  <si>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</si>
  <si>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</si>
  <si>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</si>
  <si>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</si>
  <si>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</si>
  <si>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</si>
  <si>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</si>
  <si>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</si>
  <si>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</si>
  <si>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</si>
  <si>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</si>
  <si>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</si>
  <si>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</si>
  <si>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</si>
  <si>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</si>
  <si>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</si>
  <si>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</si>
  <si>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</si>
  <si>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</si>
  <si>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</si>
  <si>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</si>
  <si>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</si>
  <si>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</si>
  <si>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</si>
  <si>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</si>
  <si>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</si>
  <si>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</si>
  <si>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</si>
  <si>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</si>
  <si>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</si>
  <si>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</si>
  <si>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</si>
  <si>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</si>
  <si>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</si>
  <si>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</si>
  <si>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</si>
  <si>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</si>
  <si>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</si>
  <si>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</si>
  <si>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</si>
  <si>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</si>
  <si>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</si>
  <si>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</si>
  <si>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</si>
  <si>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</si>
  <si>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</si>
  <si>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</si>
  <si>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>Data - SUMIF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</si>
  <si>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</si>
  <si>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</si>
  <si>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</si>
  <si>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</si>
  <si>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</si>
  <si>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</si>
  <si>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</si>
  <si>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</si>
  <si>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</si>
  <si>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</si>
  <si>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</si>
  <si>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</si>
  <si>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</si>
  <si>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</si>
  <si>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</si>
  <si>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</si>
  <si>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</si>
  <si>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</si>
  <si>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</si>
  <si>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</si>
  <si>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</si>
  <si>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</si>
  <si>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</si>
  <si>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</si>
  <si>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</si>
  <si>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</si>
  <si>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</si>
  <si>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</si>
  <si>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What is the total number of medals won by figure skaters?</t>
  </si>
  <si>
    <t>What is the total number of medals won by both USA and Jamaica? (Hard)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</si>
  <si>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</si>
  <si>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</si>
  <si>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</si>
  <si>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</si>
  <si>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</si>
  <si>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</si>
  <si>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Failed/Good/Excellent</t>
  </si>
  <si>
    <t>John</t>
  </si>
  <si>
    <t>Sarah</t>
  </si>
  <si>
    <t>Michael</t>
  </si>
  <si>
    <t>Deborah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</si>
  <si>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</si>
  <si>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</si>
  <si>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</si>
  <si>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</si>
  <si>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>Below is a list of the employees who work in your company:</t>
  </si>
  <si>
    <t>Location</t>
  </si>
  <si>
    <t>Garry Manship</t>
  </si>
  <si>
    <t>Hong Kong</t>
  </si>
  <si>
    <t>William Johnson</t>
  </si>
  <si>
    <t>Berlin</t>
  </si>
  <si>
    <t>Thomas Bettle</t>
  </si>
  <si>
    <t>Bangkok</t>
  </si>
  <si>
    <t>Ian Nash</t>
  </si>
  <si>
    <t>Cairo</t>
  </si>
  <si>
    <t>Margaret Turley</t>
  </si>
  <si>
    <t>Shanghai</t>
  </si>
  <si>
    <t>Michael Kaye</t>
  </si>
  <si>
    <t>Capetown</t>
  </si>
  <si>
    <t>Paul Bell</t>
  </si>
  <si>
    <t>Thomas Davies</t>
  </si>
  <si>
    <t>Eric Green</t>
  </si>
  <si>
    <t>Warsaw</t>
  </si>
  <si>
    <t>Williamr Black</t>
  </si>
  <si>
    <t>Estelle Cormack</t>
  </si>
  <si>
    <t>Christopher Fallon</t>
  </si>
  <si>
    <t>Delhi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</si>
  <si>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</si>
  <si>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</si>
  <si>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</si>
  <si>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</si>
  <si>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</si>
  <si>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VLOOKUP Exercise - Data: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</si>
  <si>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</si>
  <si>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</si>
  <si>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</si>
  <si>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</si>
  <si>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</si>
  <si>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</si>
  <si>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</si>
  <si>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</si>
  <si>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Accountant</t>
  </si>
  <si>
    <t>Emily Chen</t>
  </si>
  <si>
    <t>Sam Lee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</si>
  <si>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</si>
  <si>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</si>
  <si>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</si>
  <si>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</si>
  <si>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</si>
  <si>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</si>
  <si>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</si>
  <si>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</si>
  <si>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</si>
  <si>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</si>
  <si>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s</t>
  </si>
  <si>
    <t>Create a VLOOKUP formula to find the occupation of Jane Doe.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</si>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</sst>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.00_ ;_ * \-#,##0.00_ ;_ * &quot;-&quot;??_ ;_ @_ "/>
    <numFmt numFmtId="165" formatCode="B1mmm\-yy"/>
    <numFmt numFmtId="166" formatCode="_([$$-409]* #,##0.00_);_([$$-409]* \(#,##0.00\);_([$$-409]* &quot;-&quot;??_);_(@_)"/>
    <numFmt numFmtId="167" formatCode="_ * #,##0_ ;_ * \-#,##0_ ;_ * &quot;-&quot;??_ ;_ @_ "/>
    <numFmt numFmtId="168" formatCode="_(* #,##0_);_(* \(#,##0\);_(* &quot;-&quot;??_);_(@_)"/>
    <numFmt numFmtId="169" formatCode="_-[$$-409]* #,##0.0000_ ;_-[$$-409]* \-#,##0.0000\ ;_-[$$-409]* &quot;-&quot;??_ ;_-@_ "/>
  </numFmts>
  <fonts count="4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u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  <font>
      <b/>
      <u/>
      <sz val="1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theme="10"/>
      <name val="Calibri"/>
      <family val="2"/>
      <charset val="177"/>
      <scheme val="minor"/>
    </font>
    <font>
      <b/>
      <u/>
      <sz val="11"/>
      <color rgb="FF0E101A"/>
      <name val="Calibri"/>
      <family val="2"/>
    </font>
    <font>
      <u/>
      <sz val="18"/>
      <color theme="10"/>
      <name val="Calibri"/>
      <family val="2"/>
      <charset val="177"/>
      <scheme val="minor"/>
    </font>
    <font>
      <b/>
      <sz val="10"/>
      <color rgb="FF000000"/>
      <name val="Arial"/>
      <family val="2"/>
    </font>
    <font>
      <sz val="11"/>
      <color rgb="FF000000"/>
      <name val="Roboto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000000"/>
      <name val="Calibri"/>
      <family val="2"/>
      <charset val="177"/>
    </font>
    <font>
      <sz val="11"/>
      <color rgb="FF000000"/>
      <name val="Calibri"/>
      <family val="2"/>
      <charset val="177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  <fill>
      <patternFill patternType="solid">
        <fgColor rgb="FFFFFF00"/>
        <bgColor indexed="64"/>
      </patternFill>
    </fill>
    <fill>
      <patternFill patternType="solid">
        <fgColor rgb="FFC5E0B3"/>
        <bgColor rgb="FFC5E0B3"/>
      </patternFill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rgb="FF92D050"/>
      </patternFill>
    </fill>
  </fills>
  <borders count="1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8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2" fillId="0" borderId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2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143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2" xfId="0" applyFont="1" applyBorder="1"/>
    <xf numFmtId="0" fontId="5" fillId="3" borderId="2" xfId="0" applyFont="1" applyFill="1" applyBorder="1"/>
    <xf numFmtId="0" fontId="5" fillId="4" borderId="2" xfId="0" applyFont="1" applyFill="1" applyBorder="1"/>
    <xf numFmtId="0" fontId="5" fillId="5" borderId="2" xfId="0" applyFont="1" applyFill="1" applyBorder="1"/>
    <xf numFmtId="0" fontId="5" fillId="2" borderId="1" xfId="0" applyFont="1" applyFill="1" applyBorder="1" applyProtection="1">
      <protection locked="0"/>
    </xf>
    <xf numFmtId="0" fontId="6" fillId="2" borderId="1" xfId="0" applyFont="1" applyFill="1" applyBorder="1" applyProtection="1">
      <protection locked="0"/>
    </xf>
    <xf numFmtId="165" fontId="5" fillId="0" borderId="0" xfId="0" applyNumberFormat="1" applyFont="1"/>
    <xf numFmtId="0" fontId="5" fillId="2" borderId="0" xfId="0" applyFont="1" applyFill="1" applyProtection="1">
      <protection locked="0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2" xfId="0" applyFont="1" applyBorder="1"/>
    <xf numFmtId="0" fontId="10" fillId="6" borderId="2" xfId="0" applyFont="1" applyFill="1" applyBorder="1"/>
    <xf numFmtId="0" fontId="9" fillId="6" borderId="2" xfId="0" applyFont="1" applyFill="1" applyBorder="1"/>
    <xf numFmtId="0" fontId="9" fillId="2" borderId="1" xfId="0" applyFont="1" applyFill="1" applyBorder="1" applyProtection="1">
      <protection locked="0"/>
    </xf>
    <xf numFmtId="0" fontId="9" fillId="8" borderId="3" xfId="0" applyFont="1" applyFill="1" applyBorder="1"/>
    <xf numFmtId="0" fontId="9" fillId="8" borderId="4" xfId="0" applyFont="1" applyFill="1" applyBorder="1"/>
    <xf numFmtId="0" fontId="0" fillId="0" borderId="0" xfId="0"/>
    <xf numFmtId="0" fontId="11" fillId="0" borderId="0" xfId="0" applyFont="1"/>
    <xf numFmtId="0" fontId="12" fillId="0" borderId="0" xfId="0" applyFont="1"/>
    <xf numFmtId="0" fontId="2" fillId="0" borderId="0" xfId="0" applyFont="1"/>
    <xf numFmtId="0" fontId="13" fillId="7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43" fontId="14" fillId="7" borderId="2" xfId="0" applyNumberFormat="1" applyFont="1" applyFill="1" applyBorder="1" applyAlignment="1">
      <alignment vertical="center" wrapText="1"/>
    </xf>
    <xf numFmtId="43" fontId="14" fillId="7" borderId="2" xfId="0" applyNumberFormat="1" applyFont="1" applyFill="1" applyBorder="1" applyAlignment="1">
      <alignment horizontal="center" vertical="center" wrapText="1"/>
    </xf>
    <xf numFmtId="1" fontId="14" fillId="7" borderId="2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Protection="1">
      <protection locked="0"/>
    </xf>
    <xf numFmtId="0" fontId="9" fillId="8" borderId="5" xfId="0" applyFont="1" applyFill="1" applyBorder="1"/>
    <xf numFmtId="0" fontId="9" fillId="2" borderId="0" xfId="0" applyFont="1" applyFill="1" applyProtection="1">
      <protection locked="0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5" fillId="0" borderId="6" xfId="0" applyFont="1" applyBorder="1"/>
    <xf numFmtId="0" fontId="8" fillId="0" borderId="6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2" xfId="0" applyFont="1" applyBorder="1"/>
    <xf numFmtId="0" fontId="5" fillId="0" borderId="0" xfId="0" quotePrefix="1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9" borderId="7" xfId="0" applyFont="1" applyFill="1" applyBorder="1"/>
    <xf numFmtId="0" fontId="12" fillId="0" borderId="0" xfId="0" applyFont="1" applyAlignment="1">
      <alignment horizontal="left" indent="1"/>
    </xf>
    <xf numFmtId="0" fontId="1" fillId="0" borderId="0" xfId="0" applyFont="1"/>
    <xf numFmtId="0" fontId="5" fillId="2" borderId="2" xfId="0" applyFont="1" applyFill="1" applyBorder="1" applyProtection="1">
      <protection locked="0"/>
    </xf>
    <xf numFmtId="0" fontId="21" fillId="0" borderId="0" xfId="0" applyFont="1"/>
    <xf numFmtId="0" fontId="15" fillId="0" borderId="0" xfId="0" applyFont="1"/>
    <xf numFmtId="166" fontId="5" fillId="0" borderId="2" xfId="0" applyNumberFormat="1" applyFont="1" applyBorder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15" fillId="0" borderId="2" xfId="0" applyFont="1" applyBorder="1"/>
    <xf numFmtId="0" fontId="15" fillId="0" borderId="8" xfId="0" applyFont="1" applyBorder="1"/>
    <xf numFmtId="0" fontId="5" fillId="0" borderId="8" xfId="0" applyFont="1" applyBorder="1"/>
    <xf numFmtId="0" fontId="1" fillId="0" borderId="2" xfId="0" applyFont="1" applyBorder="1"/>
    <xf numFmtId="9" fontId="1" fillId="0" borderId="2" xfId="0" applyNumberFormat="1" applyFont="1" applyBorder="1"/>
    <xf numFmtId="0" fontId="20" fillId="0" borderId="2" xfId="0" applyFont="1" applyBorder="1"/>
    <xf numFmtId="167" fontId="1" fillId="0" borderId="2" xfId="4" applyNumberFormat="1" applyFont="1" applyBorder="1"/>
    <xf numFmtId="9" fontId="1" fillId="2" borderId="2" xfId="5" applyFont="1" applyFill="1" applyBorder="1" applyProtection="1">
      <protection locked="0"/>
    </xf>
    <xf numFmtId="0" fontId="23" fillId="0" borderId="0" xfId="0" applyFont="1"/>
    <xf numFmtId="0" fontId="16" fillId="0" borderId="0" xfId="0" quotePrefix="1" applyFont="1"/>
    <xf numFmtId="9" fontId="5" fillId="2" borderId="0" xfId="0" applyNumberFormat="1" applyFont="1" applyFill="1" applyProtection="1">
      <protection locked="0"/>
    </xf>
    <xf numFmtId="9" fontId="5" fillId="0" borderId="0" xfId="0" applyNumberFormat="1" applyFont="1"/>
    <xf numFmtId="0" fontId="24" fillId="0" borderId="0" xfId="6" applyFont="1"/>
    <xf numFmtId="9" fontId="16" fillId="0" borderId="0" xfId="0" applyNumberFormat="1" applyFont="1"/>
    <xf numFmtId="0" fontId="5" fillId="0" borderId="6" xfId="0" applyFont="1" applyBorder="1"/>
    <xf numFmtId="9" fontId="5" fillId="2" borderId="0" xfId="5" applyNumberFormat="1" applyFont="1" applyFill="1" applyProtection="1">
      <protection locked="0"/>
    </xf>
    <xf numFmtId="168" fontId="5" fillId="0" borderId="0" xfId="0" applyNumberFormat="1" applyFont="1" applyAlignment="1">
      <alignment horizontal="center"/>
    </xf>
    <xf numFmtId="168" fontId="5" fillId="2" borderId="1" xfId="0" applyNumberFormat="1" applyFont="1" applyFill="1" applyBorder="1" applyProtection="1">
      <protection locked="0"/>
    </xf>
    <xf numFmtId="14" fontId="6" fillId="10" borderId="2" xfId="0" applyNumberFormat="1" applyFont="1" applyFill="1" applyBorder="1"/>
    <xf numFmtId="44" fontId="6" fillId="10" borderId="2" xfId="0" applyNumberFormat="1" applyFont="1" applyFill="1" applyBorder="1"/>
    <xf numFmtId="14" fontId="5" fillId="0" borderId="2" xfId="0" applyNumberFormat="1" applyFont="1" applyBorder="1"/>
    <xf numFmtId="44" fontId="5" fillId="0" borderId="2" xfId="0" applyNumberFormat="1" applyFont="1" applyBorder="1"/>
    <xf numFmtId="14" fontId="5" fillId="0" borderId="0" xfId="0" applyNumberFormat="1" applyFont="1"/>
    <xf numFmtId="44" fontId="5" fillId="9" borderId="2" xfId="0" applyNumberFormat="1" applyFont="1" applyFill="1" applyBorder="1" applyProtection="1">
      <protection locked="0"/>
    </xf>
    <xf numFmtId="3" fontId="25" fillId="11" borderId="2" xfId="0" applyNumberFormat="1" applyFont="1" applyFill="1" applyBorder="1" applyAlignment="1">
      <alignment horizontal="center"/>
    </xf>
    <xf numFmtId="3" fontId="16" fillId="0" borderId="0" xfId="0" applyNumberFormat="1" applyFont="1"/>
    <xf numFmtId="3" fontId="25" fillId="0" borderId="0" xfId="0" applyNumberFormat="1" applyFont="1" applyAlignment="1">
      <alignment horizontal="right"/>
    </xf>
    <xf numFmtId="3" fontId="5" fillId="2" borderId="2" xfId="0" applyNumberFormat="1" applyFont="1" applyFill="1" applyBorder="1" applyProtection="1">
      <protection locked="0"/>
    </xf>
    <xf numFmtId="0" fontId="26" fillId="0" borderId="0" xfId="0" applyFont="1"/>
    <xf numFmtId="3" fontId="5" fillId="2" borderId="7" xfId="0" applyNumberFormat="1" applyFont="1" applyFill="1" applyBorder="1" applyProtection="1">
      <protection locked="0"/>
    </xf>
    <xf numFmtId="3" fontId="5" fillId="9" borderId="7" xfId="0" applyNumberFormat="1" applyFont="1" applyFill="1" applyBorder="1" applyProtection="1">
      <protection locked="0"/>
    </xf>
    <xf numFmtId="0" fontId="25" fillId="11" borderId="2" xfId="0" applyFont="1" applyFill="1" applyBorder="1" applyAlignment="1">
      <alignment horizontal="center"/>
    </xf>
    <xf numFmtId="0" fontId="29" fillId="11" borderId="2" xfId="0" applyFont="1" applyFill="1" applyBorder="1" applyAlignment="1">
      <alignment horizontal="center"/>
    </xf>
    <xf numFmtId="0" fontId="25" fillId="0" borderId="2" xfId="0" applyFont="1" applyBorder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0" fontId="20" fillId="0" borderId="7" xfId="0" applyFont="1" applyBorder="1"/>
    <xf numFmtId="0" fontId="0" fillId="0" borderId="7" xfId="0" applyBorder="1"/>
    <xf numFmtId="167" fontId="0" fillId="0" borderId="7" xfId="7" applyNumberFormat="1" applyFont="1" applyBorder="1"/>
    <xf numFmtId="0" fontId="20" fillId="0" borderId="0" xfId="0" applyFont="1"/>
    <xf numFmtId="0" fontId="0" fillId="9" borderId="11" xfId="0" applyFill="1" applyBorder="1" applyProtection="1">
      <protection locked="0"/>
    </xf>
    <xf numFmtId="0" fontId="30" fillId="0" borderId="0" xfId="0" applyFont="1"/>
    <xf numFmtId="0" fontId="31" fillId="0" borderId="0" xfId="0" applyFont="1"/>
    <xf numFmtId="0" fontId="31" fillId="0" borderId="7" xfId="0" applyFont="1" applyBorder="1"/>
    <xf numFmtId="0" fontId="30" fillId="0" borderId="7" xfId="0" applyFont="1" applyBorder="1"/>
    <xf numFmtId="0" fontId="32" fillId="0" borderId="0" xfId="0" applyFont="1" applyAlignment="1">
      <alignment vertical="center"/>
    </xf>
    <xf numFmtId="0" fontId="4" fillId="0" borderId="0" xfId="2" quotePrefix="1"/>
    <xf numFmtId="0" fontId="33" fillId="0" borderId="0" xfId="0" applyFont="1" applyAlignment="1">
      <alignment vertical="center"/>
    </xf>
    <xf numFmtId="0" fontId="34" fillId="0" borderId="0" xfId="0" applyFont="1"/>
    <xf numFmtId="0" fontId="35" fillId="0" borderId="0" xfId="0" applyFont="1"/>
    <xf numFmtId="0" fontId="36" fillId="9" borderId="7" xfId="0" applyFont="1" applyFill="1" applyBorder="1"/>
    <xf numFmtId="167" fontId="0" fillId="0" borderId="0" xfId="0" applyNumberFormat="1"/>
    <xf numFmtId="0" fontId="0" fillId="0" borderId="0" xfId="0"/>
    <xf numFmtId="0" fontId="0" fillId="9" borderId="7" xfId="0" applyFill="1" applyBorder="1" applyProtection="1">
      <protection locked="0"/>
    </xf>
    <xf numFmtId="0" fontId="37" fillId="0" borderId="0" xfId="0" applyFont="1" applyAlignment="1">
      <alignment wrapText="1"/>
    </xf>
    <xf numFmtId="14" fontId="38" fillId="0" borderId="0" xfId="0" applyNumberFormat="1" applyFont="1" applyAlignment="1">
      <alignment wrapText="1"/>
    </xf>
    <xf numFmtId="169" fontId="38" fillId="0" borderId="0" xfId="0" applyNumberFormat="1" applyFont="1" applyAlignment="1">
      <alignment horizontal="left" wrapText="1"/>
    </xf>
    <xf numFmtId="14" fontId="0" fillId="0" borderId="0" xfId="0" applyNumberFormat="1"/>
    <xf numFmtId="0" fontId="0" fillId="9" borderId="0" xfId="0" applyFill="1" applyProtection="1">
      <protection locked="0"/>
    </xf>
    <xf numFmtId="0" fontId="39" fillId="0" borderId="0" xfId="0" applyFont="1"/>
    <xf numFmtId="0" fontId="40" fillId="0" borderId="0" xfId="0" applyFont="1"/>
    <xf numFmtId="0" fontId="39" fillId="14" borderId="2" xfId="0" applyFont="1" applyFill="1" applyBorder="1"/>
    <xf numFmtId="0" fontId="39" fillId="14" borderId="10" xfId="0" applyFont="1" applyFill="1" applyBorder="1"/>
    <xf numFmtId="0" fontId="40" fillId="0" borderId="12" xfId="0" applyFont="1" applyBorder="1" applyAlignment="1">
      <alignment horizontal="left"/>
    </xf>
    <xf numFmtId="0" fontId="40" fillId="0" borderId="13" xfId="0" applyFont="1" applyBorder="1"/>
    <xf numFmtId="0" fontId="40" fillId="0" borderId="13" xfId="0" applyFont="1" applyBorder="1" applyAlignment="1">
      <alignment horizontal="right"/>
    </xf>
    <xf numFmtId="0" fontId="39" fillId="0" borderId="0" xfId="0" applyFont="1" applyAlignment="1">
      <alignment horizontal="right"/>
    </xf>
    <xf numFmtId="0" fontId="40" fillId="2" borderId="0" xfId="0" applyFont="1" applyFill="1" applyProtection="1">
      <protection locked="0"/>
    </xf>
    <xf numFmtId="0" fontId="39" fillId="0" borderId="2" xfId="0" applyFont="1" applyBorder="1"/>
    <xf numFmtId="0" fontId="39" fillId="0" borderId="10" xfId="0" applyFont="1" applyBorder="1"/>
    <xf numFmtId="0" fontId="40" fillId="2" borderId="13" xfId="0" applyFont="1" applyFill="1" applyBorder="1" applyProtection="1">
      <protection locked="0"/>
    </xf>
    <xf numFmtId="0" fontId="40" fillId="0" borderId="12" xfId="0" applyFont="1" applyBorder="1"/>
    <xf numFmtId="0" fontId="36" fillId="0" borderId="0" xfId="0" applyFont="1"/>
    <xf numFmtId="0" fontId="35" fillId="0" borderId="7" xfId="0" applyFont="1" applyBorder="1"/>
    <xf numFmtId="0" fontId="36" fillId="0" borderId="7" xfId="0" applyFont="1" applyBorder="1"/>
    <xf numFmtId="0" fontId="34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7" fillId="12" borderId="8" xfId="0" applyFont="1" applyFill="1" applyBorder="1" applyAlignment="1">
      <alignment horizontal="center"/>
    </xf>
    <xf numFmtId="0" fontId="28" fillId="0" borderId="9" xfId="0" applyFont="1" applyBorder="1"/>
    <xf numFmtId="0" fontId="28" fillId="0" borderId="10" xfId="0" applyFont="1" applyBorder="1"/>
    <xf numFmtId="0" fontId="30" fillId="13" borderId="0" xfId="0" applyFont="1" applyFill="1" applyAlignment="1">
      <alignment horizontal="left" vertical="center" wrapText="1"/>
    </xf>
    <xf numFmtId="0" fontId="39" fillId="0" borderId="0" xfId="0" applyFont="1" applyAlignment="1"/>
    <xf numFmtId="0" fontId="0" fillId="0" borderId="0" xfId="0" applyAlignment="1"/>
    <xf numFmtId="0" fontId="40" fillId="0" borderId="0" xfId="0" applyFont="1" applyAlignment="1"/>
    <xf numFmtId="0" fontId="36" fillId="13" borderId="0" xfId="0" applyFont="1" applyFill="1" applyAlignment="1">
      <alignment horizontal="left" vertical="center" wrapText="1"/>
    </xf>
  </cellXfs>
  <cellStyles count="8">
    <cellStyle name="Comma" xfId="4" builtinId="3"/>
    <cellStyle name="Comma 2" xfId="7" xr:uid="{00000000-0005-0000-0000-000001000000}"/>
    <cellStyle name="Hyperlink" xfId="6" builtinId="8"/>
    <cellStyle name="Hyperlink 2" xfId="2" xr:uid="{00000000-0005-0000-0000-000003000000}"/>
    <cellStyle name="Normal" xfId="0" builtinId="0"/>
    <cellStyle name="Normal 2" xfId="1" xr:uid="{00000000-0005-0000-0000-000005000000}"/>
    <cellStyle name="Normal 2 2" xfId="3" xr:uid="{00000000-0005-0000-0000-000006000000}"/>
    <cellStyle name="Percent" xfId="5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22"/>
  <sheetViews>
    <sheetView workbookViewId="0"/>
  </sheetViews>
  <sheetFormatPr defaultRowHeight="15" x14ac:dyDescent="0.25"/>
  <cols>
    <col min="1" max="1" width="2" bestFit="1" customWidth="1"/>
    <col min="2" max="2" width="33.5703125" customWidth="1"/>
    <col min="4" max="4" width="8.42578125" bestFit="1" customWidth="1"/>
  </cols>
  <sheetData>
    <row r="3" spans="1:4" x14ac:dyDescent="0.25">
      <c r="B3" s="3" t="s">
        <v>0</v>
      </c>
      <c r="C3" s="3" t="s">
        <v>1</v>
      </c>
      <c r="D3" s="3" t="s">
        <v>2</v>
      </c>
    </row>
    <row r="4" spans="1:4" x14ac:dyDescent="0.25">
      <c r="B4" s="4" t="s">
        <v>3</v>
      </c>
      <c r="C4" s="4" t="s">
        <v>4</v>
      </c>
      <c r="D4" s="4">
        <v>43</v>
      </c>
    </row>
    <row r="5" spans="1:4" x14ac:dyDescent="0.25">
      <c r="B5" s="4" t="s">
        <v>3</v>
      </c>
      <c r="C5" s="4" t="s">
        <v>5</v>
      </c>
      <c r="D5" s="4">
        <v>59</v>
      </c>
    </row>
    <row r="6" spans="1:4" x14ac:dyDescent="0.25">
      <c r="B6" s="4" t="s">
        <v>3</v>
      </c>
      <c r="C6" s="4" t="s">
        <v>6</v>
      </c>
      <c r="D6" s="4">
        <v>72</v>
      </c>
    </row>
    <row r="7" spans="1:4" x14ac:dyDescent="0.25">
      <c r="B7" s="5" t="s">
        <v>7</v>
      </c>
      <c r="C7" s="5" t="s">
        <v>8</v>
      </c>
      <c r="D7" s="5">
        <v>119</v>
      </c>
    </row>
    <row r="8" spans="1:4" x14ac:dyDescent="0.25">
      <c r="B8" s="5" t="s">
        <v>7</v>
      </c>
      <c r="C8" s="5" t="s">
        <v>9</v>
      </c>
      <c r="D8" s="5">
        <v>175</v>
      </c>
    </row>
    <row r="9" spans="1:4" x14ac:dyDescent="0.25">
      <c r="B9" s="5" t="s">
        <v>7</v>
      </c>
      <c r="C9" s="5" t="s">
        <v>10</v>
      </c>
      <c r="D9" s="5">
        <v>192</v>
      </c>
    </row>
    <row r="10" spans="1:4" x14ac:dyDescent="0.25">
      <c r="B10" s="6" t="s">
        <v>11</v>
      </c>
      <c r="C10" s="6" t="s">
        <v>12</v>
      </c>
      <c r="D10" s="6">
        <v>240</v>
      </c>
    </row>
    <row r="11" spans="1:4" x14ac:dyDescent="0.25">
      <c r="B11" s="6" t="s">
        <v>11</v>
      </c>
      <c r="C11" s="6" t="s">
        <v>13</v>
      </c>
      <c r="D11" s="6">
        <v>405</v>
      </c>
    </row>
    <row r="12" spans="1:4" x14ac:dyDescent="0.25">
      <c r="B12" s="6" t="s">
        <v>11</v>
      </c>
      <c r="C12" s="6" t="s">
        <v>14</v>
      </c>
      <c r="D12" s="6">
        <v>522</v>
      </c>
    </row>
    <row r="14" spans="1:4" x14ac:dyDescent="0.25">
      <c r="B14" s="2" t="s">
        <v>15</v>
      </c>
    </row>
    <row r="15" spans="1:4" ht="15.75" thickBot="1" x14ac:dyDescent="0.3"/>
    <row r="16" spans="1:4" ht="15.75" thickBot="1" x14ac:dyDescent="0.3">
      <c r="A16" s="1">
        <v>1</v>
      </c>
      <c r="B16" s="1" t="s">
        <v>16</v>
      </c>
      <c r="D16" s="7">
        <f>AVERAGE(D4:D6)</f>
        <v>58</v>
      </c>
    </row>
    <row r="17" spans="1:4" ht="15.75" thickBot="1" x14ac:dyDescent="0.3"/>
    <row r="18" spans="1:4" ht="15.75" thickBot="1" x14ac:dyDescent="0.3">
      <c r="A18" s="1">
        <v>2</v>
      </c>
      <c r="B18" s="1" t="s">
        <v>17</v>
      </c>
      <c r="D18" s="7">
        <f>AVERAGE(D7:D9)</f>
        <v>162</v>
      </c>
    </row>
    <row r="19" spans="1:4" ht="15.75" thickBot="1" x14ac:dyDescent="0.3"/>
    <row r="20" spans="1:4" ht="15.75" thickBot="1" x14ac:dyDescent="0.3">
      <c r="A20" s="1">
        <v>3</v>
      </c>
      <c r="B20" s="1" t="s">
        <v>18</v>
      </c>
      <c r="D20" s="7">
        <f>AVERAGE(D10:D12)</f>
        <v>389</v>
      </c>
    </row>
    <row r="21" spans="1:4" ht="15.75" thickBot="1" x14ac:dyDescent="0.3"/>
    <row r="22" spans="1:4" ht="15.75" thickBot="1" x14ac:dyDescent="0.3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topLeftCell="A6" workbookViewId="0">
      <selection activeCell="B12" sqref="B12"/>
    </sheetView>
  </sheetViews>
  <sheetFormatPr defaultRowHeight="15" x14ac:dyDescent="0.25"/>
  <cols>
    <col min="1" max="1" width="47.5703125" customWidth="1"/>
    <col min="2" max="2" width="27.42578125" customWidth="1"/>
    <col min="3" max="3" width="17.7109375" customWidth="1"/>
  </cols>
  <sheetData>
    <row r="1" spans="1:3" x14ac:dyDescent="0.25">
      <c r="A1" s="1"/>
    </row>
    <row r="2" spans="1:3" x14ac:dyDescent="0.25">
      <c r="A2" s="1" t="s">
        <v>20</v>
      </c>
    </row>
    <row r="3" spans="1:3" x14ac:dyDescent="0.25">
      <c r="A3" s="2" t="s">
        <v>21</v>
      </c>
      <c r="B3" s="2" t="s">
        <v>22</v>
      </c>
      <c r="C3" s="2" t="s">
        <v>23</v>
      </c>
    </row>
    <row r="4" spans="1:3" x14ac:dyDescent="0.25">
      <c r="A4" s="1" t="s">
        <v>24</v>
      </c>
      <c r="B4" s="9">
        <v>43101</v>
      </c>
      <c r="C4" s="1">
        <v>152</v>
      </c>
    </row>
    <row r="5" spans="1:3" x14ac:dyDescent="0.25">
      <c r="A5" s="1" t="s">
        <v>25</v>
      </c>
      <c r="B5" s="9">
        <v>43101</v>
      </c>
      <c r="C5" s="1">
        <v>171</v>
      </c>
    </row>
    <row r="6" spans="1:3" x14ac:dyDescent="0.25">
      <c r="A6" s="1" t="s">
        <v>26</v>
      </c>
      <c r="B6" s="9">
        <v>43101</v>
      </c>
      <c r="C6" s="1">
        <v>110</v>
      </c>
    </row>
    <row r="7" spans="1:3" x14ac:dyDescent="0.25">
      <c r="A7" s="1" t="s">
        <v>27</v>
      </c>
      <c r="B7" s="9">
        <v>43132</v>
      </c>
      <c r="C7" s="1">
        <v>173</v>
      </c>
    </row>
    <row r="8" spans="1:3" x14ac:dyDescent="0.25">
      <c r="A8" s="1" t="s">
        <v>28</v>
      </c>
      <c r="B8" s="9">
        <v>43132</v>
      </c>
      <c r="C8" s="1">
        <v>128</v>
      </c>
    </row>
    <row r="9" spans="1:3" x14ac:dyDescent="0.25">
      <c r="A9" s="1" t="s">
        <v>29</v>
      </c>
      <c r="B9" s="9">
        <v>43132</v>
      </c>
      <c r="C9" s="1">
        <v>107</v>
      </c>
    </row>
    <row r="10" spans="1:3" x14ac:dyDescent="0.25">
      <c r="A10" s="1" t="s">
        <v>30</v>
      </c>
      <c r="B10" s="9">
        <v>43160</v>
      </c>
      <c r="C10" s="1">
        <v>213</v>
      </c>
    </row>
    <row r="11" spans="1:3" x14ac:dyDescent="0.25">
      <c r="A11" s="1" t="s">
        <v>31</v>
      </c>
      <c r="B11" s="9">
        <v>43160</v>
      </c>
      <c r="C11" s="1">
        <v>238</v>
      </c>
    </row>
    <row r="12" spans="1:3" x14ac:dyDescent="0.25">
      <c r="A12" s="1" t="s">
        <v>32</v>
      </c>
      <c r="B12" s="9">
        <v>43160</v>
      </c>
      <c r="C12" s="1">
        <v>131</v>
      </c>
    </row>
    <row r="14" spans="1:3" x14ac:dyDescent="0.25">
      <c r="A14" s="1" t="s">
        <v>33</v>
      </c>
    </row>
    <row r="16" spans="1:3" x14ac:dyDescent="0.25">
      <c r="A16" s="9">
        <v>43101</v>
      </c>
      <c r="B16" s="10">
        <f>AVERAGE(C4:C6)</f>
        <v>144.33333333333334</v>
      </c>
      <c r="C16" s="1"/>
    </row>
    <row r="17" spans="1:3" x14ac:dyDescent="0.25">
      <c r="A17" s="9">
        <v>43132</v>
      </c>
      <c r="B17" s="10">
        <f>AVERAGE(C7:C9)</f>
        <v>136</v>
      </c>
      <c r="C17" s="1"/>
    </row>
    <row r="18" spans="1:3" x14ac:dyDescent="0.25">
      <c r="A18" s="9">
        <v>43160</v>
      </c>
      <c r="B18" s="10">
        <f>AVERAGE(C10:C12)</f>
        <v>194</v>
      </c>
      <c r="C18" s="1"/>
    </row>
    <row r="21" spans="1:3" x14ac:dyDescent="0.25">
      <c r="A21" s="1" t="s">
        <v>34</v>
      </c>
    </row>
    <row r="23" spans="1:3" x14ac:dyDescent="0.25">
      <c r="A23" s="1" t="s">
        <v>35</v>
      </c>
      <c r="B23" s="10">
        <f>SUM(C4:C12)/COUNT(C4:C12)</f>
        <v>158.11111111111111</v>
      </c>
      <c r="C23" s="1"/>
    </row>
    <row r="24" spans="1:3" x14ac:dyDescent="0.25">
      <c r="A24" s="1" t="s">
        <v>36</v>
      </c>
      <c r="B24" s="10">
        <f>AVERAGE(C4:C12)</f>
        <v>158.11111111111111</v>
      </c>
      <c r="C2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B18" sqref="B18"/>
    </sheetView>
  </sheetViews>
  <sheetFormatPr defaultRowHeight="15" x14ac:dyDescent="0.25"/>
  <cols>
    <col min="1" max="1" width="19.28515625" customWidth="1"/>
    <col min="2" max="2" width="16.28515625" bestFit="1" customWidth="1"/>
  </cols>
  <sheetData>
    <row r="1" spans="1:7" x14ac:dyDescent="0.25">
      <c r="A1" s="11" t="s">
        <v>37</v>
      </c>
      <c r="B1" s="12"/>
      <c r="C1" s="12"/>
      <c r="D1" s="12"/>
      <c r="E1" s="12"/>
      <c r="F1" s="12"/>
      <c r="G1" s="12"/>
    </row>
    <row r="2" spans="1:7" x14ac:dyDescent="0.25">
      <c r="A2" s="13" t="s">
        <v>38</v>
      </c>
      <c r="B2" s="12"/>
      <c r="C2" s="12"/>
      <c r="D2" s="12"/>
      <c r="E2" s="12"/>
      <c r="F2" s="12"/>
      <c r="G2" s="12"/>
    </row>
    <row r="3" spans="1:7" x14ac:dyDescent="0.25">
      <c r="A3" s="14" t="s">
        <v>39</v>
      </c>
      <c r="B3" s="15" t="s">
        <v>40</v>
      </c>
      <c r="C3" s="12"/>
      <c r="D3" s="12"/>
      <c r="E3" s="12"/>
      <c r="F3" s="12"/>
      <c r="G3" s="12"/>
    </row>
    <row r="4" spans="1:7" x14ac:dyDescent="0.25">
      <c r="A4" s="14" t="s">
        <v>41</v>
      </c>
      <c r="B4" s="16">
        <v>7</v>
      </c>
      <c r="C4" s="12"/>
      <c r="D4" s="12"/>
      <c r="E4" s="12"/>
      <c r="F4" s="12"/>
      <c r="G4" s="12"/>
    </row>
    <row r="5" spans="1:7" x14ac:dyDescent="0.25">
      <c r="A5" s="14" t="s">
        <v>42</v>
      </c>
      <c r="B5" s="16">
        <v>5</v>
      </c>
      <c r="C5" s="12"/>
      <c r="D5" s="12"/>
      <c r="E5" s="12"/>
      <c r="F5" s="12"/>
      <c r="G5" s="12"/>
    </row>
    <row r="6" spans="1:7" x14ac:dyDescent="0.25">
      <c r="A6" s="14" t="s">
        <v>43</v>
      </c>
      <c r="B6" s="16">
        <v>6</v>
      </c>
      <c r="C6" s="12"/>
      <c r="D6" s="12"/>
      <c r="E6" s="12"/>
      <c r="F6" s="12"/>
      <c r="G6" s="12"/>
    </row>
    <row r="7" spans="1:7" x14ac:dyDescent="0.25">
      <c r="A7" s="14" t="s">
        <v>44</v>
      </c>
      <c r="B7" s="16">
        <v>4</v>
      </c>
      <c r="C7" s="12"/>
      <c r="D7" s="12"/>
      <c r="E7" s="12"/>
      <c r="F7" s="12"/>
      <c r="G7" s="12"/>
    </row>
    <row r="8" spans="1:7" x14ac:dyDescent="0.25">
      <c r="A8" s="14" t="s">
        <v>45</v>
      </c>
      <c r="B8" s="16" t="s">
        <v>46</v>
      </c>
      <c r="C8" s="12"/>
      <c r="D8" s="12"/>
      <c r="E8" s="12"/>
      <c r="F8" s="12"/>
      <c r="G8" s="12"/>
    </row>
    <row r="9" spans="1:7" x14ac:dyDescent="0.25">
      <c r="A9" s="14" t="s">
        <v>47</v>
      </c>
      <c r="B9" s="16" t="s">
        <v>48</v>
      </c>
      <c r="C9" s="12"/>
      <c r="D9" s="12"/>
      <c r="E9" s="12"/>
      <c r="F9" s="12"/>
      <c r="G9" s="12"/>
    </row>
    <row r="10" spans="1:7" x14ac:dyDescent="0.25">
      <c r="A10" s="14" t="s">
        <v>49</v>
      </c>
      <c r="B10" s="16" t="s">
        <v>49</v>
      </c>
      <c r="C10" s="12"/>
      <c r="D10" s="12"/>
      <c r="E10" s="12"/>
      <c r="F10" s="12"/>
      <c r="G10" s="12"/>
    </row>
    <row r="11" spans="1:7" x14ac:dyDescent="0.25">
      <c r="A11" s="12"/>
      <c r="B11" s="12"/>
      <c r="C11" s="12"/>
      <c r="D11" s="12"/>
      <c r="E11" s="12"/>
      <c r="F11" s="12"/>
      <c r="G11" s="12"/>
    </row>
    <row r="12" spans="1:7" x14ac:dyDescent="0.25">
      <c r="A12" s="13" t="s">
        <v>50</v>
      </c>
      <c r="B12" s="12"/>
      <c r="C12" s="12"/>
      <c r="D12" s="12"/>
      <c r="E12" s="12"/>
      <c r="F12" s="12"/>
      <c r="G12" s="12"/>
    </row>
    <row r="13" spans="1:7" x14ac:dyDescent="0.25">
      <c r="A13" s="12"/>
      <c r="B13" s="12"/>
      <c r="C13" s="12"/>
      <c r="D13" s="12"/>
      <c r="E13" s="12"/>
      <c r="F13" s="12"/>
      <c r="G13" s="12"/>
    </row>
    <row r="14" spans="1:7" ht="15.75" thickBot="1" x14ac:dyDescent="0.3">
      <c r="A14" s="13" t="s">
        <v>51</v>
      </c>
      <c r="B14" s="13" t="s">
        <v>52</v>
      </c>
      <c r="C14" s="12"/>
      <c r="D14" s="12"/>
      <c r="E14" s="12"/>
      <c r="F14" s="12"/>
      <c r="G14" s="12"/>
    </row>
    <row r="15" spans="1:7" ht="15.75" thickBot="1" x14ac:dyDescent="0.3">
      <c r="A15" s="13" t="s">
        <v>40</v>
      </c>
      <c r="B15" s="17">
        <f>COUNT(B4:B10)</f>
        <v>4</v>
      </c>
      <c r="C15" s="13"/>
      <c r="D15" s="12"/>
      <c r="E15" s="12"/>
      <c r="F15" s="12"/>
      <c r="G15" s="12"/>
    </row>
    <row r="16" spans="1:7" x14ac:dyDescent="0.25">
      <c r="A16" s="12"/>
      <c r="B16" s="12"/>
      <c r="C16" s="12"/>
      <c r="D16" s="12"/>
      <c r="E16" s="12"/>
      <c r="F16" s="12"/>
      <c r="G16" s="12"/>
    </row>
    <row r="17" spans="1:7" ht="15.75" thickBot="1" x14ac:dyDescent="0.3">
      <c r="A17" s="13" t="s">
        <v>51</v>
      </c>
      <c r="B17" s="13" t="s">
        <v>53</v>
      </c>
      <c r="C17" s="12"/>
      <c r="D17" s="12"/>
      <c r="E17" s="12"/>
      <c r="F17" s="12"/>
      <c r="G17" s="12"/>
    </row>
    <row r="18" spans="1:7" ht="15.75" thickBot="1" x14ac:dyDescent="0.3">
      <c r="A18" s="13" t="s">
        <v>40</v>
      </c>
      <c r="B18" s="17">
        <f>COUNTA(B4:B10)</f>
        <v>7</v>
      </c>
      <c r="C18" s="13"/>
      <c r="D18" s="12"/>
      <c r="E18" s="12"/>
      <c r="F18" s="12"/>
      <c r="G18" s="12"/>
    </row>
  </sheetData>
  <pageMargins left="0.7" right="0.7" top="0.75" bottom="0.75" header="0.3" footer="0.3"/>
  <ignoredErrors>
    <ignoredError sqref="B18 B15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7"/>
  <sheetViews>
    <sheetView workbookViewId="0">
      <selection activeCell="E28" sqref="E28"/>
    </sheetView>
  </sheetViews>
  <sheetFormatPr defaultRowHeight="15" x14ac:dyDescent="0.25"/>
  <cols>
    <col min="1" max="1" width="19.28515625" style="23" customWidth="1"/>
    <col min="2" max="2" width="16.28515625" style="23" bestFit="1" customWidth="1"/>
    <col min="3" max="16384" width="9.140625" style="23"/>
  </cols>
  <sheetData>
    <row r="1" spans="1:6" x14ac:dyDescent="0.25">
      <c r="A1" s="21" t="s">
        <v>54</v>
      </c>
      <c r="B1" s="22"/>
      <c r="C1" s="22"/>
      <c r="D1" s="22"/>
      <c r="E1" s="22"/>
      <c r="F1" s="22"/>
    </row>
    <row r="2" spans="1:6" x14ac:dyDescent="0.25">
      <c r="A2" s="21" t="s">
        <v>55</v>
      </c>
      <c r="B2" s="22"/>
      <c r="C2" s="22"/>
      <c r="D2" s="22"/>
      <c r="E2" s="22"/>
      <c r="F2" s="22"/>
    </row>
    <row r="3" spans="1:6" x14ac:dyDescent="0.25">
      <c r="A3" s="24" t="s">
        <v>56</v>
      </c>
      <c r="B3" s="24" t="s">
        <v>57</v>
      </c>
      <c r="C3" s="24" t="s">
        <v>58</v>
      </c>
      <c r="D3" s="22"/>
      <c r="E3" s="22"/>
      <c r="F3" s="22"/>
    </row>
    <row r="4" spans="1:6" x14ac:dyDescent="0.25">
      <c r="A4" s="25">
        <v>101</v>
      </c>
      <c r="B4" s="25" t="s">
        <v>59</v>
      </c>
      <c r="C4" s="26">
        <v>78022</v>
      </c>
      <c r="D4" s="22"/>
      <c r="E4" s="22"/>
      <c r="F4" s="22"/>
    </row>
    <row r="5" spans="1:6" x14ac:dyDescent="0.25">
      <c r="A5" s="25">
        <v>102</v>
      </c>
      <c r="B5" s="25" t="s">
        <v>60</v>
      </c>
      <c r="C5" s="26">
        <v>99819</v>
      </c>
      <c r="D5" s="22"/>
      <c r="E5" s="22"/>
      <c r="F5" s="22"/>
    </row>
    <row r="6" spans="1:6" x14ac:dyDescent="0.25">
      <c r="A6" s="25">
        <v>103</v>
      </c>
      <c r="B6" s="25" t="s">
        <v>61</v>
      </c>
      <c r="C6" s="27" t="s">
        <v>62</v>
      </c>
      <c r="D6" s="22"/>
      <c r="E6" s="22"/>
      <c r="F6" s="22"/>
    </row>
    <row r="7" spans="1:6" x14ac:dyDescent="0.25">
      <c r="A7" s="25">
        <v>104</v>
      </c>
      <c r="B7" s="25" t="s">
        <v>63</v>
      </c>
      <c r="C7" s="26">
        <v>27522</v>
      </c>
      <c r="D7" s="22"/>
      <c r="E7" s="22"/>
      <c r="F7" s="22"/>
    </row>
    <row r="8" spans="1:6" x14ac:dyDescent="0.25">
      <c r="A8" s="25">
        <v>105</v>
      </c>
      <c r="B8" s="25" t="s">
        <v>64</v>
      </c>
      <c r="C8" s="28">
        <v>0</v>
      </c>
      <c r="D8" s="22"/>
      <c r="E8" s="22"/>
      <c r="F8" s="22"/>
    </row>
    <row r="9" spans="1:6" x14ac:dyDescent="0.25">
      <c r="A9" s="25">
        <v>106</v>
      </c>
      <c r="B9" s="25" t="s">
        <v>65</v>
      </c>
      <c r="C9" s="28"/>
      <c r="D9" s="22"/>
      <c r="E9" s="22"/>
      <c r="F9" s="22"/>
    </row>
    <row r="10" spans="1:6" x14ac:dyDescent="0.25">
      <c r="A10" s="25">
        <v>107</v>
      </c>
      <c r="B10" s="25" t="s">
        <v>66</v>
      </c>
      <c r="C10" s="28">
        <v>0</v>
      </c>
      <c r="D10" s="22"/>
      <c r="E10" s="22"/>
      <c r="F10" s="22"/>
    </row>
    <row r="11" spans="1:6" x14ac:dyDescent="0.25">
      <c r="A11" s="25">
        <v>108</v>
      </c>
      <c r="B11" s="25" t="s">
        <v>67</v>
      </c>
      <c r="C11" s="26">
        <v>88041</v>
      </c>
      <c r="D11" s="22"/>
      <c r="E11" s="22"/>
      <c r="F11" s="22"/>
    </row>
    <row r="12" spans="1:6" x14ac:dyDescent="0.25">
      <c r="A12" s="25">
        <v>109</v>
      </c>
      <c r="B12" s="25" t="s">
        <v>68</v>
      </c>
      <c r="C12" s="26">
        <v>81831</v>
      </c>
      <c r="D12" s="22"/>
      <c r="E12" s="22"/>
      <c r="F12" s="22"/>
    </row>
    <row r="13" spans="1:6" x14ac:dyDescent="0.25">
      <c r="A13" s="25">
        <v>110</v>
      </c>
      <c r="B13" s="25" t="s">
        <v>69</v>
      </c>
      <c r="C13" s="27" t="s">
        <v>62</v>
      </c>
      <c r="D13" s="22"/>
      <c r="E13" s="22"/>
      <c r="F13" s="22"/>
    </row>
    <row r="14" spans="1:6" x14ac:dyDescent="0.25">
      <c r="A14" s="25">
        <v>111</v>
      </c>
      <c r="B14" s="25" t="s">
        <v>70</v>
      </c>
      <c r="C14" s="26"/>
      <c r="D14" s="22"/>
      <c r="E14" s="22"/>
      <c r="F14" s="22"/>
    </row>
    <row r="15" spans="1:6" ht="24" x14ac:dyDescent="0.25">
      <c r="A15" s="25">
        <v>112</v>
      </c>
      <c r="B15" s="25" t="s">
        <v>71</v>
      </c>
      <c r="C15" s="26">
        <v>26624</v>
      </c>
      <c r="D15" s="22"/>
      <c r="E15" s="22"/>
      <c r="F15" s="22"/>
    </row>
    <row r="16" spans="1:6" ht="24" x14ac:dyDescent="0.25">
      <c r="A16" s="25">
        <v>113</v>
      </c>
      <c r="B16" s="25" t="s">
        <v>72</v>
      </c>
      <c r="C16" s="26">
        <v>92885</v>
      </c>
      <c r="D16" s="22"/>
      <c r="E16" s="22"/>
      <c r="F16" s="22"/>
    </row>
    <row r="17" spans="1:6" ht="24" x14ac:dyDescent="0.25">
      <c r="A17" s="25">
        <v>114</v>
      </c>
      <c r="B17" s="25" t="s">
        <v>73</v>
      </c>
      <c r="C17" s="28">
        <v>0</v>
      </c>
      <c r="D17" s="22"/>
      <c r="E17" s="22"/>
      <c r="F17" s="22"/>
    </row>
    <row r="18" spans="1:6" x14ac:dyDescent="0.25">
      <c r="A18" s="22"/>
      <c r="B18" s="22"/>
      <c r="C18" s="22"/>
      <c r="D18" s="22"/>
      <c r="E18" s="22"/>
      <c r="F18" s="22"/>
    </row>
    <row r="19" spans="1:6" x14ac:dyDescent="0.25">
      <c r="A19" s="21" t="s">
        <v>74</v>
      </c>
      <c r="B19" s="22"/>
      <c r="C19" s="22"/>
      <c r="D19" s="22"/>
      <c r="E19" s="22"/>
      <c r="F19" s="22"/>
    </row>
    <row r="20" spans="1:6" ht="15.75" thickBot="1" x14ac:dyDescent="0.3">
      <c r="A20" s="22" t="s">
        <v>51</v>
      </c>
      <c r="B20" s="22" t="s">
        <v>75</v>
      </c>
      <c r="C20" s="22"/>
      <c r="D20" s="22"/>
      <c r="E20" s="22"/>
      <c r="F20" s="22"/>
    </row>
    <row r="21" spans="1:6" ht="15.75" thickBot="1" x14ac:dyDescent="0.3">
      <c r="A21" s="22" t="s">
        <v>40</v>
      </c>
      <c r="B21" s="29">
        <f>COUNT(C4:C17)</f>
        <v>10</v>
      </c>
      <c r="C21" s="22"/>
      <c r="D21" s="22"/>
      <c r="E21" s="22"/>
      <c r="F21" s="22"/>
    </row>
    <row r="22" spans="1:6" x14ac:dyDescent="0.25">
      <c r="A22" s="22"/>
      <c r="B22" s="22"/>
      <c r="C22" s="22"/>
      <c r="D22" s="22"/>
      <c r="E22" s="22"/>
      <c r="F22" s="22"/>
    </row>
    <row r="23" spans="1:6" x14ac:dyDescent="0.25">
      <c r="A23" s="22"/>
      <c r="B23" s="22" t="s">
        <v>76</v>
      </c>
      <c r="C23" s="22"/>
      <c r="D23" s="22"/>
      <c r="E23" s="22"/>
      <c r="F23" s="22"/>
    </row>
    <row r="24" spans="1:6" x14ac:dyDescent="0.25">
      <c r="A24" s="22"/>
      <c r="B24" s="22"/>
      <c r="C24" s="22"/>
      <c r="D24" s="22"/>
      <c r="E24" s="22"/>
      <c r="F24" s="22"/>
    </row>
    <row r="25" spans="1:6" x14ac:dyDescent="0.25">
      <c r="A25" s="22"/>
      <c r="B25" s="22"/>
      <c r="C25" s="22"/>
      <c r="D25" s="22"/>
      <c r="E25" s="22"/>
      <c r="F25" s="22"/>
    </row>
    <row r="26" spans="1:6" ht="15.75" thickBot="1" x14ac:dyDescent="0.3">
      <c r="A26" s="22" t="s">
        <v>51</v>
      </c>
      <c r="B26" s="22" t="s">
        <v>77</v>
      </c>
      <c r="C26" s="22"/>
      <c r="D26" s="22"/>
      <c r="E26" s="22"/>
      <c r="F26" s="22"/>
    </row>
    <row r="27" spans="1:6" ht="15.75" thickBot="1" x14ac:dyDescent="0.3">
      <c r="A27" s="22" t="s">
        <v>40</v>
      </c>
      <c r="B27" s="29">
        <f>COUNTA(C4:C17)</f>
        <v>12</v>
      </c>
      <c r="C27" s="22"/>
      <c r="D27" s="22"/>
      <c r="E27" s="22"/>
      <c r="F27" s="22"/>
    </row>
  </sheetData>
  <pageMargins left="0.7" right="0.7" top="0.75" bottom="0.75" header="0.3" footer="0.3"/>
  <ignoredErrors>
    <ignoredError sqref="B21 B27" unlocked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8"/>
  <sheetViews>
    <sheetView topLeftCell="A8" workbookViewId="0">
      <selection activeCell="B27" sqref="B27"/>
    </sheetView>
  </sheetViews>
  <sheetFormatPr defaultRowHeight="15" x14ac:dyDescent="0.25"/>
  <cols>
    <col min="1" max="1" width="2" style="20" bestFit="1" customWidth="1"/>
    <col min="2" max="2" width="16.28515625" style="20" bestFit="1" customWidth="1"/>
    <col min="3" max="16384" width="9.140625" style="20"/>
  </cols>
  <sheetData>
    <row r="1" spans="1:6" x14ac:dyDescent="0.25">
      <c r="A1" s="12"/>
      <c r="B1" s="13" t="s">
        <v>78</v>
      </c>
      <c r="C1" s="12"/>
      <c r="D1" s="12"/>
      <c r="E1" s="12"/>
      <c r="F1" s="12"/>
    </row>
    <row r="2" spans="1:6" ht="15.75" thickBot="1" x14ac:dyDescent="0.3">
      <c r="A2" s="12"/>
      <c r="B2" s="12"/>
      <c r="C2" s="12"/>
      <c r="D2" s="12"/>
      <c r="E2" s="12"/>
      <c r="F2" s="12"/>
    </row>
    <row r="3" spans="1:6" x14ac:dyDescent="0.25">
      <c r="A3" s="12"/>
      <c r="B3" s="18"/>
      <c r="C3" s="12"/>
      <c r="D3" s="12"/>
      <c r="E3" s="12"/>
      <c r="F3" s="12"/>
    </row>
    <row r="4" spans="1:6" x14ac:dyDescent="0.25">
      <c r="A4" s="12"/>
      <c r="B4" s="19" t="s">
        <v>79</v>
      </c>
      <c r="C4" s="12"/>
      <c r="D4" s="12"/>
      <c r="E4" s="12"/>
      <c r="F4" s="12"/>
    </row>
    <row r="5" spans="1:6" x14ac:dyDescent="0.25">
      <c r="A5" s="12"/>
      <c r="B5" s="19">
        <v>4</v>
      </c>
      <c r="C5" s="12"/>
      <c r="D5" s="12"/>
      <c r="E5" s="12"/>
      <c r="F5" s="12"/>
    </row>
    <row r="6" spans="1:6" x14ac:dyDescent="0.25">
      <c r="A6" s="12"/>
      <c r="B6" s="19"/>
      <c r="C6" s="12"/>
      <c r="D6" s="12"/>
      <c r="E6" s="12"/>
      <c r="F6" s="12"/>
    </row>
    <row r="7" spans="1:6" x14ac:dyDescent="0.25">
      <c r="A7" s="12"/>
      <c r="B7" s="19">
        <v>3</v>
      </c>
      <c r="C7" s="12"/>
      <c r="D7" s="12"/>
      <c r="E7" s="12"/>
      <c r="F7" s="12"/>
    </row>
    <row r="8" spans="1:6" x14ac:dyDescent="0.25">
      <c r="A8" s="12"/>
      <c r="B8" s="19"/>
      <c r="C8" s="12"/>
      <c r="D8" s="12"/>
      <c r="E8" s="12"/>
      <c r="F8" s="12"/>
    </row>
    <row r="9" spans="1:6" x14ac:dyDescent="0.25">
      <c r="A9" s="12"/>
      <c r="B9" s="19" t="s">
        <v>80</v>
      </c>
      <c r="C9" s="12"/>
      <c r="D9" s="12"/>
      <c r="E9" s="12"/>
      <c r="F9" s="12"/>
    </row>
    <row r="10" spans="1:6" x14ac:dyDescent="0.25">
      <c r="A10" s="12"/>
      <c r="B10" s="19"/>
      <c r="C10" s="12"/>
      <c r="D10" s="12"/>
      <c r="E10" s="12"/>
      <c r="F10" s="12"/>
    </row>
    <row r="11" spans="1:6" x14ac:dyDescent="0.25">
      <c r="A11" s="12"/>
      <c r="B11" s="19" t="e">
        <v>#DIV/0!</v>
      </c>
      <c r="C11" s="12"/>
      <c r="D11" s="12"/>
      <c r="E11" s="12"/>
      <c r="F11" s="12"/>
    </row>
    <row r="12" spans="1:6" x14ac:dyDescent="0.25">
      <c r="A12" s="12"/>
      <c r="B12" s="19" t="s">
        <v>81</v>
      </c>
      <c r="C12" s="12"/>
      <c r="D12" s="12"/>
      <c r="E12" s="12"/>
      <c r="F12" s="12"/>
    </row>
    <row r="13" spans="1:6" ht="15.75" thickBot="1" x14ac:dyDescent="0.3">
      <c r="A13" s="12"/>
      <c r="B13" s="30" t="s">
        <v>82</v>
      </c>
      <c r="C13" s="12"/>
      <c r="D13" s="12"/>
      <c r="E13" s="12"/>
      <c r="F13" s="12"/>
    </row>
    <row r="14" spans="1:6" x14ac:dyDescent="0.25">
      <c r="A14" s="12"/>
      <c r="B14" s="12"/>
      <c r="C14" s="12"/>
      <c r="D14" s="12"/>
      <c r="E14" s="12"/>
      <c r="F14" s="12"/>
    </row>
    <row r="15" spans="1:6" x14ac:dyDescent="0.25">
      <c r="A15" s="12"/>
      <c r="B15" s="13" t="s">
        <v>83</v>
      </c>
      <c r="C15" s="12"/>
      <c r="D15" s="12"/>
      <c r="E15" s="12"/>
      <c r="F15" s="12"/>
    </row>
    <row r="16" spans="1:6" x14ac:dyDescent="0.25">
      <c r="A16" s="12"/>
      <c r="B16" s="12"/>
      <c r="C16" s="12"/>
      <c r="D16" s="12"/>
      <c r="E16" s="12"/>
      <c r="F16" s="12"/>
    </row>
    <row r="17" spans="1:6" x14ac:dyDescent="0.25">
      <c r="A17" s="13">
        <v>1</v>
      </c>
      <c r="B17" s="13" t="s">
        <v>84</v>
      </c>
      <c r="C17" s="12"/>
      <c r="D17" s="12"/>
      <c r="E17" s="12"/>
      <c r="F17" s="12"/>
    </row>
    <row r="18" spans="1:6" x14ac:dyDescent="0.25">
      <c r="A18" s="12"/>
      <c r="B18" s="31">
        <f>COUNT(B3:B13)</f>
        <v>2</v>
      </c>
      <c r="C18" s="13"/>
      <c r="D18" s="12"/>
      <c r="E18" s="12"/>
      <c r="F18" s="12"/>
    </row>
    <row r="19" spans="1:6" x14ac:dyDescent="0.25">
      <c r="A19" s="12"/>
      <c r="B19" s="12"/>
      <c r="C19" s="12"/>
      <c r="D19" s="12"/>
      <c r="E19" s="12"/>
      <c r="F19" s="12"/>
    </row>
    <row r="20" spans="1:6" x14ac:dyDescent="0.25">
      <c r="A20" s="13">
        <v>2</v>
      </c>
      <c r="B20" s="13" t="s">
        <v>85</v>
      </c>
      <c r="C20" s="12"/>
      <c r="D20" s="12"/>
      <c r="E20" s="12"/>
      <c r="F20" s="12"/>
    </row>
    <row r="21" spans="1:6" x14ac:dyDescent="0.25">
      <c r="A21" s="12"/>
      <c r="B21" s="31">
        <f>COUNTBLANK(B3:B13)</f>
        <v>4</v>
      </c>
      <c r="C21" s="13"/>
      <c r="D21" s="12"/>
      <c r="E21" s="12"/>
      <c r="F21" s="12"/>
    </row>
    <row r="22" spans="1:6" x14ac:dyDescent="0.25">
      <c r="A22" s="12"/>
      <c r="B22" s="12"/>
      <c r="C22" s="12"/>
      <c r="D22" s="12"/>
      <c r="E22" s="12"/>
      <c r="F22" s="12"/>
    </row>
    <row r="23" spans="1:6" x14ac:dyDescent="0.25">
      <c r="A23" s="13">
        <v>3</v>
      </c>
      <c r="B23" s="13" t="s">
        <v>86</v>
      </c>
      <c r="C23" s="12"/>
      <c r="D23" s="12"/>
      <c r="E23" s="12"/>
      <c r="F23" s="12"/>
    </row>
    <row r="24" spans="1:6" x14ac:dyDescent="0.25">
      <c r="A24" s="12"/>
      <c r="B24" s="31">
        <f>COUNTA(B3:B13)-COUNT(B3:B13)</f>
        <v>5</v>
      </c>
      <c r="C24" s="13"/>
      <c r="D24" s="12"/>
      <c r="E24" s="12"/>
      <c r="F24" s="12"/>
    </row>
    <row r="25" spans="1:6" x14ac:dyDescent="0.25">
      <c r="A25" s="12"/>
      <c r="B25" s="12"/>
      <c r="C25" s="12"/>
      <c r="D25" s="12"/>
      <c r="E25" s="12"/>
      <c r="F25" s="12"/>
    </row>
    <row r="26" spans="1:6" x14ac:dyDescent="0.25">
      <c r="A26" s="13">
        <v>4</v>
      </c>
      <c r="B26" s="13" t="s">
        <v>87</v>
      </c>
      <c r="C26" s="12"/>
      <c r="D26" s="12"/>
      <c r="E26" s="12"/>
      <c r="F26" s="12"/>
    </row>
    <row r="27" spans="1:6" x14ac:dyDescent="0.25">
      <c r="B27" s="31">
        <f>COUNTA(B3:B13)+COUNTBLANK(B3:B13)</f>
        <v>11</v>
      </c>
      <c r="C27" s="13"/>
      <c r="D27" s="12"/>
      <c r="E27" s="12"/>
      <c r="F27" s="12"/>
    </row>
    <row r="28" spans="1:6" x14ac:dyDescent="0.25">
      <c r="A28" s="12"/>
      <c r="B28" s="12"/>
      <c r="C28" s="12"/>
      <c r="D28" s="12"/>
      <c r="E28" s="12"/>
      <c r="F28" s="12"/>
    </row>
  </sheetData>
  <pageMargins left="0.7" right="0.7" top="0.75" bottom="0.75" header="0.3" footer="0.3"/>
  <ignoredErrors>
    <ignoredError sqref="B18 B21 B24 B27" unlocked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9"/>
  <sheetViews>
    <sheetView workbookViewId="0">
      <selection activeCell="A3" sqref="A3"/>
    </sheetView>
  </sheetViews>
  <sheetFormatPr defaultRowHeight="15" x14ac:dyDescent="0.25"/>
  <cols>
    <col min="1" max="1" width="8.140625" style="32" customWidth="1"/>
    <col min="2" max="2" width="69.140625" style="20" customWidth="1"/>
    <col min="3" max="16384" width="9.140625" style="20"/>
  </cols>
  <sheetData>
    <row r="1" spans="1:4" x14ac:dyDescent="0.25">
      <c r="B1" s="1" t="s">
        <v>88</v>
      </c>
    </row>
    <row r="2" spans="1:4" x14ac:dyDescent="0.25">
      <c r="A2" s="33"/>
      <c r="B2" s="34" t="s">
        <v>89</v>
      </c>
      <c r="C2" s="35"/>
    </row>
    <row r="3" spans="1:4" x14ac:dyDescent="0.25">
      <c r="A3" s="36">
        <v>1</v>
      </c>
      <c r="B3" s="1" t="s">
        <v>90</v>
      </c>
    </row>
    <row r="4" spans="1:4" x14ac:dyDescent="0.25">
      <c r="A4" s="37"/>
      <c r="B4" s="38" t="s">
        <v>1</v>
      </c>
      <c r="C4" s="38" t="s">
        <v>2</v>
      </c>
    </row>
    <row r="5" spans="1:4" x14ac:dyDescent="0.25">
      <c r="A5" s="36"/>
      <c r="B5" s="3" t="s">
        <v>91</v>
      </c>
      <c r="C5" s="3">
        <v>200</v>
      </c>
    </row>
    <row r="6" spans="1:4" x14ac:dyDescent="0.25">
      <c r="A6" s="36"/>
      <c r="B6" s="3" t="s">
        <v>92</v>
      </c>
      <c r="C6" s="3">
        <v>120</v>
      </c>
    </row>
    <row r="7" spans="1:4" x14ac:dyDescent="0.25">
      <c r="A7" s="36"/>
      <c r="B7" s="3" t="s">
        <v>93</v>
      </c>
      <c r="C7" s="3">
        <v>156</v>
      </c>
    </row>
    <row r="8" spans="1:4" x14ac:dyDescent="0.25">
      <c r="A8" s="36"/>
      <c r="B8" s="3" t="s">
        <v>94</v>
      </c>
      <c r="C8" s="3">
        <v>190</v>
      </c>
    </row>
    <row r="9" spans="1:4" x14ac:dyDescent="0.25">
      <c r="A9" s="36"/>
      <c r="B9" s="3" t="s">
        <v>95</v>
      </c>
      <c r="C9" s="3">
        <v>320</v>
      </c>
    </row>
    <row r="10" spans="1:4" x14ac:dyDescent="0.25">
      <c r="A10" s="36"/>
      <c r="B10" s="3" t="s">
        <v>96</v>
      </c>
      <c r="C10" s="3">
        <v>89</v>
      </c>
    </row>
    <row r="11" spans="1:4" ht="15.75" thickBot="1" x14ac:dyDescent="0.3"/>
    <row r="12" spans="1:4" ht="15.75" thickBot="1" x14ac:dyDescent="0.3">
      <c r="A12" s="36">
        <v>1.1000000000000001</v>
      </c>
      <c r="B12" s="1" t="s">
        <v>97</v>
      </c>
      <c r="C12" s="7">
        <f>MAX(C5:C10)</f>
        <v>320</v>
      </c>
      <c r="D12" s="1"/>
    </row>
    <row r="13" spans="1:4" ht="15.75" thickBot="1" x14ac:dyDescent="0.3">
      <c r="A13" s="36">
        <v>1.2</v>
      </c>
      <c r="B13" s="1" t="s">
        <v>98</v>
      </c>
      <c r="C13" s="7">
        <f>MIN(C5:C10)</f>
        <v>89</v>
      </c>
      <c r="D13" s="1"/>
    </row>
    <row r="14" spans="1:4" ht="15.75" thickBot="1" x14ac:dyDescent="0.3">
      <c r="A14" s="36">
        <v>1.3</v>
      </c>
      <c r="B14" s="1" t="s">
        <v>99</v>
      </c>
      <c r="C14" s="7">
        <f>AVERAGE(C12:C13)</f>
        <v>204.5</v>
      </c>
      <c r="D14" s="1"/>
    </row>
    <row r="16" spans="1:4" x14ac:dyDescent="0.25">
      <c r="B16" s="1"/>
    </row>
    <row r="17" spans="1:2" x14ac:dyDescent="0.25">
      <c r="A17" s="36"/>
      <c r="B17" s="1"/>
    </row>
    <row r="18" spans="1:2" x14ac:dyDescent="0.25">
      <c r="A18" s="36"/>
      <c r="B18" s="2"/>
    </row>
    <row r="19" spans="1:2" x14ac:dyDescent="0.25">
      <c r="A19" s="36"/>
      <c r="B19" s="1"/>
    </row>
    <row r="20" spans="1:2" x14ac:dyDescent="0.25">
      <c r="B20" s="1"/>
    </row>
    <row r="21" spans="1:2" x14ac:dyDescent="0.25">
      <c r="A21" s="36"/>
      <c r="B21" s="1"/>
    </row>
    <row r="22" spans="1:2" x14ac:dyDescent="0.25">
      <c r="A22" s="36"/>
      <c r="B22" s="1"/>
    </row>
    <row r="23" spans="1:2" x14ac:dyDescent="0.25">
      <c r="A23" s="36"/>
      <c r="B23" s="1"/>
    </row>
    <row r="24" spans="1:2" x14ac:dyDescent="0.25">
      <c r="A24" s="36"/>
      <c r="B24" s="39"/>
    </row>
    <row r="25" spans="1:2" x14ac:dyDescent="0.25">
      <c r="A25" s="36"/>
      <c r="B25" s="1"/>
    </row>
    <row r="26" spans="1:2" x14ac:dyDescent="0.25">
      <c r="A26" s="36"/>
      <c r="B26" s="39"/>
    </row>
    <row r="27" spans="1:2" x14ac:dyDescent="0.25">
      <c r="A27" s="36"/>
      <c r="B27" s="1"/>
    </row>
    <row r="28" spans="1:2" x14ac:dyDescent="0.25">
      <c r="A28" s="36"/>
      <c r="B28" s="39"/>
    </row>
    <row r="29" spans="1:2" x14ac:dyDescent="0.25">
      <c r="A29" s="36"/>
      <c r="B29" s="1"/>
    </row>
  </sheetData>
  <pageMargins left="0.7" right="0.7" top="0.75" bottom="0.75" header="0.3" footer="0.3"/>
  <ignoredErrors>
    <ignoredError sqref="C12:C1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9"/>
  <sheetViews>
    <sheetView workbookViewId="0">
      <selection activeCell="I8" sqref="I8"/>
    </sheetView>
  </sheetViews>
  <sheetFormatPr defaultRowHeight="15" x14ac:dyDescent="0.25"/>
  <cols>
    <col min="1" max="1" width="4" style="20" bestFit="1" customWidth="1"/>
    <col min="2" max="2" width="16.28515625" style="20" bestFit="1" customWidth="1"/>
    <col min="3" max="16384" width="9.140625" style="20"/>
  </cols>
  <sheetData>
    <row r="1" spans="1:9" x14ac:dyDescent="0.25">
      <c r="A1" s="1"/>
      <c r="B1" s="1" t="s">
        <v>100</v>
      </c>
    </row>
    <row r="3" spans="1:9" x14ac:dyDescent="0.25">
      <c r="A3" s="1"/>
      <c r="B3" s="1" t="s">
        <v>101</v>
      </c>
    </row>
    <row r="4" spans="1:9" x14ac:dyDescent="0.25">
      <c r="A4" s="1"/>
      <c r="B4" s="1" t="s">
        <v>102</v>
      </c>
    </row>
    <row r="5" spans="1:9" x14ac:dyDescent="0.25">
      <c r="A5" s="1"/>
      <c r="B5" s="1" t="s">
        <v>103</v>
      </c>
    </row>
    <row r="6" spans="1:9" x14ac:dyDescent="0.25">
      <c r="A6" s="1"/>
      <c r="B6" s="1"/>
    </row>
    <row r="7" spans="1:9" x14ac:dyDescent="0.25">
      <c r="C7" s="1" t="s">
        <v>104</v>
      </c>
      <c r="D7" s="1" t="s">
        <v>105</v>
      </c>
      <c r="E7" s="1" t="s">
        <v>106</v>
      </c>
      <c r="F7" s="1" t="s">
        <v>107</v>
      </c>
    </row>
    <row r="8" spans="1:9" x14ac:dyDescent="0.25">
      <c r="A8" s="1"/>
      <c r="B8" s="1" t="s">
        <v>108</v>
      </c>
      <c r="C8" s="1">
        <v>95</v>
      </c>
      <c r="D8" s="1">
        <v>56</v>
      </c>
      <c r="E8" s="1">
        <v>14</v>
      </c>
      <c r="F8" s="1">
        <v>66</v>
      </c>
      <c r="G8" s="10" t="str">
        <f>IF(MIN(C8:F8)&lt;50,"fail","pass")</f>
        <v>fail</v>
      </c>
      <c r="I8" s="1"/>
    </row>
    <row r="9" spans="1:9" x14ac:dyDescent="0.25">
      <c r="A9" s="1"/>
      <c r="B9" s="1" t="s">
        <v>109</v>
      </c>
      <c r="C9" s="1">
        <v>54</v>
      </c>
      <c r="D9" s="1">
        <v>89</v>
      </c>
      <c r="E9" s="1">
        <v>53</v>
      </c>
      <c r="F9" s="1">
        <v>66</v>
      </c>
      <c r="G9" s="10" t="str">
        <f>IF(MIN(C9:F9)&lt;50,"fail","pass")</f>
        <v>pass</v>
      </c>
      <c r="I9" s="1"/>
    </row>
    <row r="10" spans="1:9" x14ac:dyDescent="0.25">
      <c r="A10" s="1"/>
      <c r="B10" s="1" t="s">
        <v>110</v>
      </c>
      <c r="C10" s="1">
        <v>100</v>
      </c>
      <c r="D10" s="1">
        <v>69</v>
      </c>
      <c r="E10" s="1">
        <v>78</v>
      </c>
      <c r="F10" s="1">
        <v>53</v>
      </c>
      <c r="G10" s="10" t="str">
        <f>IF(MIN(C10:F10)&lt;50,"fail","pass")</f>
        <v>pass</v>
      </c>
      <c r="I10" s="1"/>
    </row>
    <row r="11" spans="1:9" x14ac:dyDescent="0.25">
      <c r="A11" s="1"/>
      <c r="B11" s="1" t="s">
        <v>111</v>
      </c>
      <c r="C11" s="1">
        <v>49</v>
      </c>
      <c r="D11" s="1">
        <v>70</v>
      </c>
      <c r="E11" s="1">
        <v>87</v>
      </c>
      <c r="F11" s="1">
        <v>100</v>
      </c>
      <c r="G11" s="10" t="str">
        <f>IF(MIN(C11:F11)&lt;50,"fail","pass")</f>
        <v>fail</v>
      </c>
      <c r="I11" s="1"/>
    </row>
    <row r="13" spans="1:9" x14ac:dyDescent="0.25">
      <c r="A13" s="1"/>
      <c r="B13" s="40"/>
    </row>
    <row r="14" spans="1:9" x14ac:dyDescent="0.25">
      <c r="A14" s="1"/>
      <c r="B14" s="40"/>
    </row>
    <row r="15" spans="1:9" x14ac:dyDescent="0.25">
      <c r="A15" s="1"/>
      <c r="B15" s="40"/>
    </row>
    <row r="16" spans="1:9" x14ac:dyDescent="0.25">
      <c r="A16" s="1"/>
      <c r="B16" s="40"/>
    </row>
    <row r="17" spans="1:6" x14ac:dyDescent="0.25">
      <c r="A17" s="1"/>
      <c r="B17" s="40"/>
    </row>
    <row r="18" spans="1:6" x14ac:dyDescent="0.25">
      <c r="A18" s="1"/>
      <c r="B18" s="40"/>
    </row>
    <row r="19" spans="1:6" x14ac:dyDescent="0.25">
      <c r="A19" s="1"/>
      <c r="B19" s="40"/>
    </row>
    <row r="20" spans="1:6" x14ac:dyDescent="0.25">
      <c r="A20" s="1"/>
      <c r="B20" s="40"/>
    </row>
    <row r="21" spans="1:6" x14ac:dyDescent="0.25">
      <c r="A21" s="1"/>
    </row>
    <row r="22" spans="1:6" x14ac:dyDescent="0.25">
      <c r="A22" s="1"/>
      <c r="B22" s="41"/>
    </row>
    <row r="23" spans="1:6" x14ac:dyDescent="0.25">
      <c r="B23" s="41"/>
    </row>
    <row r="24" spans="1:6" x14ac:dyDescent="0.25">
      <c r="B24" s="2"/>
    </row>
    <row r="25" spans="1:6" x14ac:dyDescent="0.25">
      <c r="A25" s="1"/>
      <c r="B25" s="40"/>
    </row>
    <row r="26" spans="1:6" x14ac:dyDescent="0.25">
      <c r="B26" s="41"/>
    </row>
    <row r="27" spans="1:6" x14ac:dyDescent="0.25">
      <c r="A27" s="1"/>
      <c r="B27" s="40"/>
      <c r="F27" s="40"/>
    </row>
    <row r="28" spans="1:6" x14ac:dyDescent="0.25">
      <c r="A28" s="1"/>
      <c r="B28" s="40"/>
      <c r="F28" s="40"/>
    </row>
    <row r="29" spans="1:6" x14ac:dyDescent="0.25">
      <c r="A29" s="1"/>
      <c r="B29" s="40"/>
      <c r="F29" s="40"/>
    </row>
  </sheetData>
  <pageMargins left="0.7" right="0.7" top="0.75" bottom="0.75" header="0.3" footer="0.3"/>
  <ignoredErrors>
    <ignoredError sqref="G8:G11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0"/>
  <sheetViews>
    <sheetView workbookViewId="0">
      <selection activeCell="D15" sqref="D15"/>
    </sheetView>
  </sheetViews>
  <sheetFormatPr defaultRowHeight="15" x14ac:dyDescent="0.25"/>
  <cols>
    <col min="1" max="1" width="5.140625" style="20" customWidth="1"/>
    <col min="2" max="2" width="27.42578125" style="20" customWidth="1"/>
    <col min="3" max="3" width="17.7109375" style="20" customWidth="1"/>
    <col min="4" max="16384" width="9.140625" style="20"/>
  </cols>
  <sheetData>
    <row r="1" spans="1:5" x14ac:dyDescent="0.25">
      <c r="A1" s="1"/>
      <c r="B1" s="1" t="s">
        <v>112</v>
      </c>
    </row>
    <row r="2" spans="1:5" x14ac:dyDescent="0.25">
      <c r="A2" s="1"/>
      <c r="B2" s="40" t="s">
        <v>113</v>
      </c>
    </row>
    <row r="4" spans="1:5" x14ac:dyDescent="0.25">
      <c r="C4" s="1" t="s">
        <v>104</v>
      </c>
    </row>
    <row r="5" spans="1:5" x14ac:dyDescent="0.25">
      <c r="A5" s="1"/>
      <c r="B5" s="1" t="s">
        <v>114</v>
      </c>
      <c r="C5" s="1">
        <v>95</v>
      </c>
    </row>
    <row r="6" spans="1:5" x14ac:dyDescent="0.25">
      <c r="A6" s="1"/>
      <c r="B6" s="1" t="s">
        <v>109</v>
      </c>
      <c r="C6" s="1">
        <v>54</v>
      </c>
    </row>
    <row r="7" spans="1:5" x14ac:dyDescent="0.25">
      <c r="A7" s="1"/>
      <c r="B7" s="1" t="s">
        <v>110</v>
      </c>
      <c r="C7" s="1">
        <v>100</v>
      </c>
    </row>
    <row r="8" spans="1:5" x14ac:dyDescent="0.25">
      <c r="A8" s="1"/>
      <c r="B8" s="1" t="s">
        <v>111</v>
      </c>
      <c r="C8" s="1">
        <v>49</v>
      </c>
    </row>
    <row r="9" spans="1:5" x14ac:dyDescent="0.25">
      <c r="A9" s="1"/>
      <c r="B9" s="1" t="s">
        <v>115</v>
      </c>
      <c r="C9" s="1">
        <v>67</v>
      </c>
    </row>
    <row r="10" spans="1:5" x14ac:dyDescent="0.25">
      <c r="A10" s="1"/>
      <c r="B10" s="1" t="s">
        <v>116</v>
      </c>
      <c r="C10" s="1">
        <v>45</v>
      </c>
    </row>
    <row r="11" spans="1:5" x14ac:dyDescent="0.25">
      <c r="A11" s="1"/>
      <c r="B11" s="1" t="s">
        <v>117</v>
      </c>
      <c r="C11" s="1">
        <v>77</v>
      </c>
    </row>
    <row r="12" spans="1:5" x14ac:dyDescent="0.25">
      <c r="C12" s="10" t="str">
        <f>IF(MAX(C5:C11)&gt;=99,"Easy","Not Easy")</f>
        <v>Easy</v>
      </c>
      <c r="E12" s="1"/>
    </row>
    <row r="15" spans="1:5" x14ac:dyDescent="0.25">
      <c r="B15" s="41"/>
    </row>
    <row r="16" spans="1:5" x14ac:dyDescent="0.25">
      <c r="A16" s="1"/>
      <c r="B16" s="40"/>
      <c r="D16" s="1"/>
    </row>
    <row r="17" spans="1:2" x14ac:dyDescent="0.25">
      <c r="B17" s="41"/>
    </row>
    <row r="18" spans="1:2" x14ac:dyDescent="0.25">
      <c r="A18" s="1"/>
      <c r="B18" s="40"/>
    </row>
    <row r="19" spans="1:2" x14ac:dyDescent="0.25">
      <c r="A19" s="1"/>
      <c r="B19" s="40"/>
    </row>
    <row r="20" spans="1:2" x14ac:dyDescent="0.25">
      <c r="A20" s="1"/>
      <c r="B20" s="40"/>
    </row>
  </sheetData>
  <pageMargins left="0.7" right="0.7" top="0.75" bottom="0.75" header="0.3" footer="0.3"/>
  <ignoredErrors>
    <ignoredError sqref="C12" unlocked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41"/>
  <sheetViews>
    <sheetView workbookViewId="0">
      <selection activeCell="C33" sqref="C33"/>
    </sheetView>
  </sheetViews>
  <sheetFormatPr defaultColWidth="8.7109375" defaultRowHeight="15" outlineLevelRow="1" x14ac:dyDescent="0.25"/>
  <cols>
    <col min="1" max="1" width="2.5703125" style="21" customWidth="1"/>
    <col min="2" max="2" width="18.140625" style="22" customWidth="1"/>
    <col min="3" max="3" width="9.5703125" style="22" customWidth="1"/>
    <col min="4" max="4" width="9.7109375" style="22" bestFit="1" customWidth="1"/>
    <col min="5" max="5" width="11.42578125" style="22" bestFit="1" customWidth="1"/>
    <col min="6" max="6" width="8.85546875" style="22" bestFit="1" customWidth="1"/>
    <col min="7" max="7" width="9.42578125" style="22" bestFit="1" customWidth="1"/>
    <col min="8" max="8" width="11.140625" style="22" bestFit="1" customWidth="1"/>
    <col min="9" max="9" width="13.5703125" style="22" bestFit="1" customWidth="1"/>
    <col min="10" max="10" width="11.28515625" style="22" bestFit="1" customWidth="1"/>
    <col min="11" max="11" width="11.5703125" style="22" bestFit="1" customWidth="1"/>
    <col min="12" max="12" width="11.85546875" style="22" bestFit="1" customWidth="1"/>
    <col min="13" max="16384" width="8.7109375" style="22"/>
  </cols>
  <sheetData>
    <row r="1" spans="1:12" x14ac:dyDescent="0.25">
      <c r="A1" s="22"/>
    </row>
    <row r="2" spans="1:12" x14ac:dyDescent="0.25">
      <c r="A2" s="22"/>
      <c r="B2" s="42" t="s">
        <v>118</v>
      </c>
    </row>
    <row r="3" spans="1:12" x14ac:dyDescent="0.25">
      <c r="A3" s="22"/>
      <c r="B3" s="43" t="s">
        <v>119</v>
      </c>
      <c r="C3" s="43">
        <v>101</v>
      </c>
      <c r="D3" s="43">
        <v>102</v>
      </c>
      <c r="E3" s="43">
        <v>103</v>
      </c>
      <c r="F3" s="43">
        <v>104</v>
      </c>
      <c r="G3" s="43">
        <v>105</v>
      </c>
      <c r="H3" s="43">
        <v>106</v>
      </c>
      <c r="I3" s="43">
        <v>107</v>
      </c>
      <c r="J3" s="43">
        <v>108</v>
      </c>
      <c r="K3" s="43">
        <v>109</v>
      </c>
      <c r="L3" s="43">
        <v>110</v>
      </c>
    </row>
    <row r="4" spans="1:12" x14ac:dyDescent="0.25">
      <c r="A4" s="22"/>
      <c r="B4" s="43" t="s">
        <v>120</v>
      </c>
      <c r="C4" s="44" t="s">
        <v>121</v>
      </c>
      <c r="D4" s="44" t="s">
        <v>122</v>
      </c>
      <c r="E4" s="44" t="s">
        <v>123</v>
      </c>
      <c r="F4" s="44" t="s">
        <v>124</v>
      </c>
      <c r="G4" s="44" t="s">
        <v>125</v>
      </c>
      <c r="H4" s="44" t="s">
        <v>126</v>
      </c>
      <c r="I4" s="44" t="s">
        <v>127</v>
      </c>
      <c r="J4" s="44" t="s">
        <v>128</v>
      </c>
      <c r="K4" s="44" t="s">
        <v>129</v>
      </c>
      <c r="L4" s="44" t="s">
        <v>130</v>
      </c>
    </row>
    <row r="5" spans="1:12" x14ac:dyDescent="0.25">
      <c r="A5" s="22"/>
      <c r="B5" s="43" t="s">
        <v>131</v>
      </c>
      <c r="C5" s="44" t="s">
        <v>132</v>
      </c>
      <c r="D5" s="44" t="s">
        <v>133</v>
      </c>
      <c r="E5" s="44" t="s">
        <v>134</v>
      </c>
      <c r="F5" s="44" t="s">
        <v>135</v>
      </c>
      <c r="G5" s="44" t="s">
        <v>132</v>
      </c>
      <c r="H5" s="44" t="s">
        <v>133</v>
      </c>
      <c r="I5" s="44" t="s">
        <v>134</v>
      </c>
      <c r="J5" s="44" t="s">
        <v>135</v>
      </c>
      <c r="K5" s="44" t="s">
        <v>132</v>
      </c>
      <c r="L5" s="44" t="s">
        <v>133</v>
      </c>
    </row>
    <row r="6" spans="1:12" x14ac:dyDescent="0.25">
      <c r="A6" s="22"/>
      <c r="B6" s="43" t="s">
        <v>136</v>
      </c>
      <c r="C6" s="44">
        <v>50000</v>
      </c>
      <c r="D6" s="44">
        <v>55000</v>
      </c>
      <c r="E6" s="44">
        <v>60000</v>
      </c>
      <c r="F6" s="44">
        <v>65000</v>
      </c>
      <c r="G6" s="44">
        <v>70000</v>
      </c>
      <c r="H6" s="44">
        <v>75000</v>
      </c>
      <c r="I6" s="44">
        <v>80000</v>
      </c>
      <c r="J6" s="44">
        <v>85000</v>
      </c>
      <c r="K6" s="44">
        <v>90000</v>
      </c>
      <c r="L6" s="44">
        <v>95000</v>
      </c>
    </row>
    <row r="7" spans="1:12" x14ac:dyDescent="0.25">
      <c r="A7" s="22"/>
      <c r="B7" s="43" t="s">
        <v>137</v>
      </c>
      <c r="C7" s="44">
        <v>2000</v>
      </c>
      <c r="D7" s="44">
        <v>2500</v>
      </c>
      <c r="E7" s="44">
        <v>3000</v>
      </c>
      <c r="F7" s="44">
        <v>3500</v>
      </c>
      <c r="G7" s="44">
        <v>4000</v>
      </c>
      <c r="H7" s="44">
        <v>4500</v>
      </c>
      <c r="I7" s="44">
        <v>5000</v>
      </c>
      <c r="J7" s="44">
        <v>5500</v>
      </c>
      <c r="K7" s="44">
        <v>6000</v>
      </c>
      <c r="L7" s="44">
        <v>6500</v>
      </c>
    </row>
    <row r="8" spans="1:12" x14ac:dyDescent="0.25">
      <c r="A8" s="22"/>
      <c r="B8" s="43" t="s">
        <v>138</v>
      </c>
      <c r="C8" s="44">
        <v>52000</v>
      </c>
      <c r="D8" s="44">
        <v>57500</v>
      </c>
      <c r="E8" s="44">
        <v>63000</v>
      </c>
      <c r="F8" s="44">
        <v>685000</v>
      </c>
      <c r="G8" s="44">
        <v>74000</v>
      </c>
      <c r="H8" s="44">
        <v>79500</v>
      </c>
      <c r="I8" s="44">
        <v>85000</v>
      </c>
      <c r="J8" s="44">
        <v>90500</v>
      </c>
      <c r="K8" s="44">
        <v>96000</v>
      </c>
      <c r="L8" s="44">
        <v>101500</v>
      </c>
    </row>
    <row r="9" spans="1:12" x14ac:dyDescent="0.25">
      <c r="A9" s="22"/>
    </row>
    <row r="10" spans="1:12" x14ac:dyDescent="0.25">
      <c r="A10" s="21">
        <v>1</v>
      </c>
      <c r="B10" s="42" t="s">
        <v>139</v>
      </c>
    </row>
    <row r="11" spans="1:12" x14ac:dyDescent="0.25">
      <c r="C11" s="42"/>
      <c r="D11" s="42"/>
    </row>
    <row r="12" spans="1:12" x14ac:dyDescent="0.25">
      <c r="B12" s="22" t="s">
        <v>140</v>
      </c>
      <c r="C12" s="45" t="str">
        <f>HLOOKUP(D3,B3:L8,3,0)</f>
        <v>Marketing</v>
      </c>
    </row>
    <row r="13" spans="1:12" hidden="1" outlineLevel="1" x14ac:dyDescent="0.25">
      <c r="B13" s="42"/>
    </row>
    <row r="14" spans="1:12" hidden="1" outlineLevel="1" x14ac:dyDescent="0.25"/>
    <row r="15" spans="1:12" hidden="1" outlineLevel="1" x14ac:dyDescent="0.25">
      <c r="B15" s="46"/>
    </row>
    <row r="16" spans="1:12" hidden="1" outlineLevel="1" x14ac:dyDescent="0.25">
      <c r="B16" s="46"/>
    </row>
    <row r="17" spans="1:4" hidden="1" outlineLevel="1" x14ac:dyDescent="0.25">
      <c r="B17" s="46"/>
    </row>
    <row r="18" spans="1:4" hidden="1" outlineLevel="1" x14ac:dyDescent="0.25">
      <c r="B18" s="46"/>
    </row>
    <row r="19" spans="1:4" hidden="1" outlineLevel="1" x14ac:dyDescent="0.25">
      <c r="B19" s="46"/>
    </row>
    <row r="20" spans="1:4" collapsed="1" x14ac:dyDescent="0.25"/>
    <row r="21" spans="1:4" x14ac:dyDescent="0.25">
      <c r="A21" s="21">
        <v>2</v>
      </c>
      <c r="B21" s="42" t="s">
        <v>141</v>
      </c>
    </row>
    <row r="22" spans="1:4" x14ac:dyDescent="0.25">
      <c r="C22" s="42"/>
      <c r="D22" s="42"/>
    </row>
    <row r="23" spans="1:4" x14ac:dyDescent="0.25">
      <c r="B23" s="22" t="s">
        <v>140</v>
      </c>
      <c r="C23" s="45">
        <f>HLOOKUP(G3,B3:L8,4,0)</f>
        <v>70000</v>
      </c>
    </row>
    <row r="25" spans="1:4" hidden="1" outlineLevel="1" x14ac:dyDescent="0.25">
      <c r="B25" s="42"/>
    </row>
    <row r="26" spans="1:4" hidden="1" outlineLevel="1" x14ac:dyDescent="0.25"/>
    <row r="27" spans="1:4" hidden="1" outlineLevel="1" x14ac:dyDescent="0.25">
      <c r="B27" s="46"/>
    </row>
    <row r="28" spans="1:4" hidden="1" outlineLevel="1" x14ac:dyDescent="0.25">
      <c r="B28" s="46"/>
    </row>
    <row r="29" spans="1:4" hidden="1" outlineLevel="1" x14ac:dyDescent="0.25">
      <c r="B29" s="46"/>
    </row>
    <row r="30" spans="1:4" hidden="1" outlineLevel="1" x14ac:dyDescent="0.25">
      <c r="B30" s="46"/>
    </row>
    <row r="31" spans="1:4" collapsed="1" x14ac:dyDescent="0.25"/>
    <row r="32" spans="1:4" x14ac:dyDescent="0.25">
      <c r="A32" s="21">
        <v>3</v>
      </c>
      <c r="B32" s="42" t="s">
        <v>142</v>
      </c>
      <c r="C32" s="42"/>
      <c r="D32" s="42"/>
    </row>
    <row r="33" spans="2:3" x14ac:dyDescent="0.25">
      <c r="B33" s="21" t="s">
        <v>140</v>
      </c>
      <c r="C33" s="45">
        <f>HLOOKUP(I3,B3:L8,6,0)</f>
        <v>85000</v>
      </c>
    </row>
    <row r="35" spans="2:3" hidden="1" outlineLevel="1" x14ac:dyDescent="0.25">
      <c r="B35" s="42" t="s">
        <v>143</v>
      </c>
    </row>
    <row r="36" spans="2:3" hidden="1" outlineLevel="1" x14ac:dyDescent="0.25"/>
    <row r="37" spans="2:3" hidden="1" outlineLevel="1" x14ac:dyDescent="0.25">
      <c r="B37" s="46"/>
    </row>
    <row r="38" spans="2:3" hidden="1" outlineLevel="1" x14ac:dyDescent="0.25">
      <c r="B38" s="46"/>
    </row>
    <row r="39" spans="2:3" hidden="1" outlineLevel="1" x14ac:dyDescent="0.25">
      <c r="B39" s="46"/>
    </row>
    <row r="40" spans="2:3" hidden="1" outlineLevel="1" x14ac:dyDescent="0.25">
      <c r="B40" s="46"/>
    </row>
    <row r="41" spans="2:3" collapsed="1" x14ac:dyDescent="0.2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>
      <selection activeCell="C7" sqref="C7"/>
    </sheetView>
  </sheetViews>
  <sheetFormatPr defaultRowHeight="15" x14ac:dyDescent="0.25"/>
  <cols>
    <col min="1" max="1" width="19.28515625" style="20" customWidth="1"/>
    <col min="2" max="2" width="16.28515625" style="20" bestFit="1" customWidth="1"/>
    <col min="3" max="3" width="13.42578125" style="20" customWidth="1"/>
    <col min="4" max="16384" width="9.140625" style="20"/>
  </cols>
  <sheetData>
    <row r="1" spans="1:5" x14ac:dyDescent="0.25">
      <c r="A1" s="40" t="s">
        <v>144</v>
      </c>
      <c r="B1" s="47"/>
      <c r="C1" s="47"/>
      <c r="D1" s="47"/>
      <c r="E1" s="47"/>
    </row>
    <row r="2" spans="1:5" x14ac:dyDescent="0.25">
      <c r="A2" s="1" t="s">
        <v>145</v>
      </c>
      <c r="B2" s="47"/>
      <c r="C2" s="47"/>
      <c r="D2" s="47"/>
      <c r="E2" s="47"/>
    </row>
    <row r="3" spans="1:5" x14ac:dyDescent="0.25">
      <c r="A3" s="1" t="s">
        <v>146</v>
      </c>
      <c r="B3" s="47"/>
      <c r="C3" s="47"/>
      <c r="D3" s="47"/>
      <c r="E3" s="47"/>
    </row>
    <row r="4" spans="1:5" x14ac:dyDescent="0.25">
      <c r="A4" s="1" t="s">
        <v>147</v>
      </c>
      <c r="B4" s="47"/>
      <c r="C4" s="47"/>
      <c r="D4" s="47"/>
      <c r="E4" s="47"/>
    </row>
    <row r="5" spans="1:5" x14ac:dyDescent="0.25">
      <c r="A5" s="47"/>
      <c r="B5" s="47"/>
      <c r="C5" s="47"/>
      <c r="D5" s="47"/>
      <c r="E5" s="47"/>
    </row>
    <row r="6" spans="1:5" x14ac:dyDescent="0.25">
      <c r="A6" s="38" t="s">
        <v>1</v>
      </c>
      <c r="B6" s="38" t="s">
        <v>148</v>
      </c>
      <c r="C6" s="38" t="s">
        <v>149</v>
      </c>
      <c r="D6" s="47"/>
      <c r="E6" s="47"/>
    </row>
    <row r="7" spans="1:5" x14ac:dyDescent="0.25">
      <c r="A7" s="3" t="s">
        <v>150</v>
      </c>
      <c r="B7" s="3">
        <v>98</v>
      </c>
      <c r="C7" s="48" t="str">
        <f>IF(B7&gt;=60,"Pass","Fail")</f>
        <v>Pass</v>
      </c>
      <c r="D7" s="1"/>
      <c r="E7" s="47"/>
    </row>
    <row r="8" spans="1:5" x14ac:dyDescent="0.25">
      <c r="A8" s="3" t="s">
        <v>151</v>
      </c>
      <c r="B8" s="3">
        <v>55</v>
      </c>
      <c r="C8" s="48" t="str">
        <f t="shared" ref="C8:C10" si="0">IF(B8&gt;=60,"Pass","Fail")</f>
        <v>Fail</v>
      </c>
      <c r="D8" s="1"/>
      <c r="E8" s="47"/>
    </row>
    <row r="9" spans="1:5" x14ac:dyDescent="0.25">
      <c r="A9" s="3" t="s">
        <v>152</v>
      </c>
      <c r="B9" s="3">
        <v>15</v>
      </c>
      <c r="C9" s="48" t="str">
        <f t="shared" si="0"/>
        <v>Fail</v>
      </c>
      <c r="D9" s="1"/>
      <c r="E9" s="47"/>
    </row>
    <row r="10" spans="1:5" x14ac:dyDescent="0.25">
      <c r="A10" s="3" t="s">
        <v>111</v>
      </c>
      <c r="B10" s="3">
        <v>60</v>
      </c>
      <c r="C10" s="48" t="str">
        <f t="shared" si="0"/>
        <v>Pass</v>
      </c>
      <c r="D10" s="1"/>
      <c r="E10" s="47"/>
    </row>
    <row r="11" spans="1:5" x14ac:dyDescent="0.25">
      <c r="A11" s="47"/>
      <c r="B11" s="47"/>
      <c r="C11" s="47"/>
      <c r="D11" s="47"/>
      <c r="E11" s="1"/>
    </row>
  </sheetData>
  <pageMargins left="0.7" right="0.7" top="0.75" bottom="0.75" header="0.3" footer="0.3"/>
  <ignoredErrors>
    <ignoredError sqref="C7:C10" unlocked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0"/>
  <sheetViews>
    <sheetView workbookViewId="0">
      <selection activeCell="D7" sqref="D7"/>
    </sheetView>
  </sheetViews>
  <sheetFormatPr defaultRowHeight="15" x14ac:dyDescent="0.25"/>
  <cols>
    <col min="1" max="1" width="19.28515625" style="20" customWidth="1"/>
    <col min="2" max="2" width="16.28515625" style="20" bestFit="1" customWidth="1"/>
    <col min="3" max="3" width="9.140625" style="20"/>
    <col min="4" max="4" width="12.140625" style="20" bestFit="1" customWidth="1"/>
    <col min="5" max="16384" width="9.140625" style="20"/>
  </cols>
  <sheetData>
    <row r="1" spans="1:5" x14ac:dyDescent="0.25">
      <c r="A1" s="40" t="s">
        <v>153</v>
      </c>
    </row>
    <row r="2" spans="1:5" x14ac:dyDescent="0.25">
      <c r="A2" s="49" t="s">
        <v>154</v>
      </c>
    </row>
    <row r="3" spans="1:5" x14ac:dyDescent="0.25">
      <c r="A3" s="40" t="s">
        <v>155</v>
      </c>
    </row>
    <row r="4" spans="1:5" x14ac:dyDescent="0.25">
      <c r="A4" s="50"/>
    </row>
    <row r="5" spans="1:5" x14ac:dyDescent="0.25">
      <c r="B5" s="1" t="s">
        <v>4</v>
      </c>
      <c r="C5" s="1" t="s">
        <v>5</v>
      </c>
    </row>
    <row r="6" spans="1:5" x14ac:dyDescent="0.25">
      <c r="A6" s="3"/>
      <c r="B6" s="3" t="s">
        <v>156</v>
      </c>
      <c r="C6" s="3" t="s">
        <v>157</v>
      </c>
      <c r="D6" s="38" t="s">
        <v>158</v>
      </c>
    </row>
    <row r="7" spans="1:5" x14ac:dyDescent="0.25">
      <c r="A7" s="3" t="s">
        <v>159</v>
      </c>
      <c r="B7" s="51">
        <v>94</v>
      </c>
      <c r="C7" s="51">
        <v>94</v>
      </c>
      <c r="D7" s="48" t="str">
        <f>IF(B7=C7,"Match","No Match")</f>
        <v>Match</v>
      </c>
      <c r="E7" s="1"/>
    </row>
    <row r="8" spans="1:5" x14ac:dyDescent="0.25">
      <c r="A8" s="3" t="s">
        <v>160</v>
      </c>
      <c r="B8" s="51">
        <v>109</v>
      </c>
      <c r="C8" s="51">
        <v>109</v>
      </c>
      <c r="D8" s="48" t="str">
        <f t="shared" ref="D8:D10" si="0">IF(B8=C8,"Match","No Match")</f>
        <v>Match</v>
      </c>
      <c r="E8" s="1"/>
    </row>
    <row r="9" spans="1:5" x14ac:dyDescent="0.25">
      <c r="A9" s="3" t="s">
        <v>161</v>
      </c>
      <c r="B9" s="51">
        <v>85</v>
      </c>
      <c r="C9" s="51">
        <v>85.5</v>
      </c>
      <c r="D9" s="48" t="str">
        <f t="shared" si="0"/>
        <v>No Match</v>
      </c>
      <c r="E9" s="1"/>
    </row>
    <row r="10" spans="1:5" x14ac:dyDescent="0.25">
      <c r="A10" s="3" t="s">
        <v>162</v>
      </c>
      <c r="B10" s="51">
        <v>12</v>
      </c>
      <c r="C10" s="51">
        <v>12</v>
      </c>
      <c r="D10" s="48" t="str">
        <f t="shared" si="0"/>
        <v>Match</v>
      </c>
      <c r="E10" s="1"/>
    </row>
  </sheetData>
  <pageMargins left="0.7" right="0.7" top="0.75" bottom="0.75" header="0.3" footer="0.3"/>
  <ignoredErrors>
    <ignoredError sqref="D7:D10" unlocked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0"/>
  <sheetViews>
    <sheetView workbookViewId="0">
      <selection activeCell="F9" sqref="F9"/>
    </sheetView>
  </sheetViews>
  <sheetFormatPr defaultRowHeight="15" x14ac:dyDescent="0.25"/>
  <cols>
    <col min="1" max="1" width="5.140625" style="20" customWidth="1"/>
    <col min="2" max="2" width="27.42578125" style="20" customWidth="1"/>
    <col min="3" max="3" width="17.7109375" style="20" customWidth="1"/>
    <col min="4" max="4" width="9.140625" style="20"/>
    <col min="5" max="5" width="13.5703125" style="20" bestFit="1" customWidth="1"/>
    <col min="6" max="6" width="13.28515625" style="20" bestFit="1" customWidth="1"/>
    <col min="7" max="16384" width="9.140625" style="20"/>
  </cols>
  <sheetData>
    <row r="1" spans="1:8" x14ac:dyDescent="0.25">
      <c r="B1" s="1" t="s">
        <v>163</v>
      </c>
    </row>
    <row r="2" spans="1:8" x14ac:dyDescent="0.25">
      <c r="A2" s="52">
        <v>1</v>
      </c>
      <c r="B2" s="41" t="s">
        <v>164</v>
      </c>
    </row>
    <row r="3" spans="1:8" x14ac:dyDescent="0.25">
      <c r="A3" s="52"/>
      <c r="B3" s="53"/>
    </row>
    <row r="4" spans="1:8" x14ac:dyDescent="0.25">
      <c r="A4" s="52">
        <v>2</v>
      </c>
      <c r="B4" s="41" t="s">
        <v>165</v>
      </c>
    </row>
    <row r="5" spans="1:8" x14ac:dyDescent="0.25">
      <c r="A5" s="52"/>
      <c r="B5" s="1"/>
    </row>
    <row r="6" spans="1:8" x14ac:dyDescent="0.25">
      <c r="A6" s="52"/>
      <c r="B6" s="1"/>
    </row>
    <row r="7" spans="1:8" x14ac:dyDescent="0.25">
      <c r="E7" s="3" t="s">
        <v>166</v>
      </c>
      <c r="F7" s="3" t="s">
        <v>167</v>
      </c>
    </row>
    <row r="8" spans="1:8" x14ac:dyDescent="0.25">
      <c r="B8" s="54" t="s">
        <v>168</v>
      </c>
      <c r="C8" s="54" t="s">
        <v>1</v>
      </c>
      <c r="D8" s="55" t="s">
        <v>169</v>
      </c>
      <c r="E8" s="54" t="s">
        <v>170</v>
      </c>
      <c r="F8" s="54" t="s">
        <v>171</v>
      </c>
      <c r="H8" s="1"/>
    </row>
    <row r="9" spans="1:8" x14ac:dyDescent="0.25">
      <c r="B9" s="3">
        <v>1</v>
      </c>
      <c r="C9" s="3" t="s">
        <v>172</v>
      </c>
      <c r="D9" s="56">
        <v>16</v>
      </c>
      <c r="E9" s="48" t="str">
        <f>IF(D9&gt;=16,"Eligible","Not Eligible")</f>
        <v>Eligible</v>
      </c>
      <c r="F9" s="48" t="str">
        <f>IF(D9&lt;18,"Minor","Adult")</f>
        <v>Minor</v>
      </c>
      <c r="H9" s="1"/>
    </row>
    <row r="10" spans="1:8" x14ac:dyDescent="0.25">
      <c r="B10" s="3">
        <v>2</v>
      </c>
      <c r="C10" s="3" t="s">
        <v>173</v>
      </c>
      <c r="D10" s="56">
        <v>18</v>
      </c>
      <c r="E10" s="48" t="str">
        <f t="shared" ref="E10:E16" si="0">IF(D10&gt;=16,"Eligible","Not Eligible")</f>
        <v>Eligible</v>
      </c>
      <c r="F10" s="48" t="str">
        <f t="shared" ref="F10:F16" si="1">IF(D10&lt;18,"Minor","Adult")</f>
        <v>Adult</v>
      </c>
      <c r="H10" s="1"/>
    </row>
    <row r="11" spans="1:8" x14ac:dyDescent="0.25">
      <c r="B11" s="3">
        <v>3</v>
      </c>
      <c r="C11" s="3" t="s">
        <v>174</v>
      </c>
      <c r="D11" s="56">
        <v>15.5</v>
      </c>
      <c r="E11" s="48" t="str">
        <f t="shared" si="0"/>
        <v>Not Eligible</v>
      </c>
      <c r="F11" s="48" t="str">
        <f t="shared" si="1"/>
        <v>Minor</v>
      </c>
      <c r="H11" s="1"/>
    </row>
    <row r="12" spans="1:8" x14ac:dyDescent="0.25">
      <c r="B12" s="3">
        <v>4</v>
      </c>
      <c r="C12" s="3" t="s">
        <v>175</v>
      </c>
      <c r="D12" s="56">
        <v>19</v>
      </c>
      <c r="E12" s="48" t="str">
        <f t="shared" si="0"/>
        <v>Eligible</v>
      </c>
      <c r="F12" s="48" t="str">
        <f t="shared" si="1"/>
        <v>Adult</v>
      </c>
      <c r="H12" s="1"/>
    </row>
    <row r="13" spans="1:8" x14ac:dyDescent="0.25">
      <c r="B13" s="3">
        <v>5</v>
      </c>
      <c r="C13" s="3" t="s">
        <v>176</v>
      </c>
      <c r="D13" s="56">
        <v>18</v>
      </c>
      <c r="E13" s="48" t="str">
        <f t="shared" si="0"/>
        <v>Eligible</v>
      </c>
      <c r="F13" s="48" t="str">
        <f t="shared" si="1"/>
        <v>Adult</v>
      </c>
      <c r="H13" s="1"/>
    </row>
    <row r="14" spans="1:8" x14ac:dyDescent="0.25">
      <c r="B14" s="3">
        <v>6</v>
      </c>
      <c r="C14" s="3" t="s">
        <v>177</v>
      </c>
      <c r="D14" s="56">
        <v>13</v>
      </c>
      <c r="E14" s="48" t="str">
        <f t="shared" si="0"/>
        <v>Not Eligible</v>
      </c>
      <c r="F14" s="48" t="str">
        <f t="shared" si="1"/>
        <v>Minor</v>
      </c>
      <c r="H14" s="1"/>
    </row>
    <row r="15" spans="1:8" x14ac:dyDescent="0.25">
      <c r="B15" s="3">
        <v>7</v>
      </c>
      <c r="C15" s="3" t="s">
        <v>178</v>
      </c>
      <c r="D15" s="56">
        <v>18</v>
      </c>
      <c r="E15" s="48" t="str">
        <f t="shared" si="0"/>
        <v>Eligible</v>
      </c>
      <c r="F15" s="48" t="str">
        <f t="shared" si="1"/>
        <v>Adult</v>
      </c>
      <c r="H15" s="1"/>
    </row>
    <row r="16" spans="1:8" x14ac:dyDescent="0.25">
      <c r="B16" s="3">
        <v>8</v>
      </c>
      <c r="C16" s="3" t="s">
        <v>179</v>
      </c>
      <c r="D16" s="56">
        <v>17</v>
      </c>
      <c r="E16" s="48" t="str">
        <f t="shared" si="0"/>
        <v>Eligible</v>
      </c>
      <c r="F16" s="48" t="str">
        <f t="shared" si="1"/>
        <v>Minor</v>
      </c>
      <c r="H16" s="1"/>
    </row>
    <row r="18" spans="1:8" x14ac:dyDescent="0.25">
      <c r="B18" s="50"/>
      <c r="C18" s="50"/>
      <c r="D18" s="50"/>
    </row>
    <row r="19" spans="1:8" x14ac:dyDescent="0.25">
      <c r="B19" s="50"/>
      <c r="C19" s="50"/>
      <c r="D19" s="50"/>
    </row>
    <row r="20" spans="1:8" x14ac:dyDescent="0.25">
      <c r="A20" s="1"/>
      <c r="B20" s="1"/>
      <c r="C20" s="40"/>
      <c r="D20" s="40"/>
    </row>
    <row r="21" spans="1:8" x14ac:dyDescent="0.25">
      <c r="A21" s="1"/>
      <c r="B21" s="1"/>
      <c r="C21" s="1"/>
      <c r="D21" s="40"/>
    </row>
    <row r="22" spans="1:8" x14ac:dyDescent="0.25">
      <c r="A22" s="1"/>
      <c r="B22" s="1"/>
      <c r="C22" s="1"/>
      <c r="D22" s="40"/>
    </row>
    <row r="23" spans="1:8" x14ac:dyDescent="0.25">
      <c r="B23" s="2"/>
    </row>
    <row r="24" spans="1:8" x14ac:dyDescent="0.25">
      <c r="B24" s="2"/>
    </row>
    <row r="25" spans="1:8" x14ac:dyDescent="0.25">
      <c r="B25" s="50"/>
      <c r="C25" s="50"/>
      <c r="D25" s="50"/>
    </row>
    <row r="26" spans="1:8" x14ac:dyDescent="0.25">
      <c r="B26" s="50"/>
      <c r="C26" s="50"/>
      <c r="D26" s="50"/>
    </row>
    <row r="27" spans="1:8" x14ac:dyDescent="0.25">
      <c r="A27" s="1"/>
      <c r="B27" s="1"/>
      <c r="C27" s="40"/>
      <c r="D27" s="40"/>
      <c r="F27" s="130"/>
      <c r="G27" s="131"/>
      <c r="H27" s="131"/>
    </row>
    <row r="28" spans="1:8" x14ac:dyDescent="0.25">
      <c r="A28" s="1"/>
      <c r="B28" s="1"/>
      <c r="C28" s="1"/>
      <c r="D28" s="40"/>
      <c r="F28" s="131"/>
      <c r="G28" s="131"/>
      <c r="H28" s="131"/>
    </row>
    <row r="29" spans="1:8" x14ac:dyDescent="0.25">
      <c r="A29" s="1"/>
      <c r="B29" s="1"/>
      <c r="C29" s="1"/>
      <c r="D29" s="40"/>
      <c r="F29" s="131"/>
      <c r="G29" s="131"/>
      <c r="H29" s="131"/>
    </row>
    <row r="30" spans="1:8" x14ac:dyDescent="0.25">
      <c r="B30" s="2"/>
    </row>
  </sheetData>
  <mergeCells count="1">
    <mergeCell ref="F27:H29"/>
  </mergeCells>
  <pageMargins left="0.7" right="0.7" top="0.75" bottom="0.75" header="0.3" footer="0.3"/>
  <ignoredErrors>
    <ignoredError sqref="E9:F16" unlockedFormula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7"/>
  <sheetViews>
    <sheetView workbookViewId="0">
      <selection activeCell="E11" sqref="E11"/>
    </sheetView>
  </sheetViews>
  <sheetFormatPr defaultRowHeight="15" x14ac:dyDescent="0.25"/>
  <cols>
    <col min="1" max="1" width="13.5703125" style="47" customWidth="1"/>
    <col min="2" max="2" width="27.42578125" style="47" customWidth="1"/>
    <col min="3" max="3" width="17.7109375" style="47" customWidth="1"/>
    <col min="4" max="4" width="14" style="47" customWidth="1"/>
    <col min="5" max="16384" width="9.140625" style="47"/>
  </cols>
  <sheetData>
    <row r="1" spans="1:4" x14ac:dyDescent="0.25">
      <c r="A1" s="47" t="s">
        <v>180</v>
      </c>
    </row>
    <row r="3" spans="1:4" x14ac:dyDescent="0.25">
      <c r="B3" s="47" t="s">
        <v>58</v>
      </c>
    </row>
    <row r="4" spans="1:4" x14ac:dyDescent="0.25">
      <c r="A4" s="57" t="s">
        <v>181</v>
      </c>
      <c r="B4" s="58">
        <v>1</v>
      </c>
    </row>
    <row r="5" spans="1:4" x14ac:dyDescent="0.25">
      <c r="A5" s="57" t="s">
        <v>182</v>
      </c>
      <c r="B5" s="58">
        <v>0.5</v>
      </c>
    </row>
    <row r="7" spans="1:4" x14ac:dyDescent="0.25">
      <c r="A7" s="47" t="s">
        <v>183</v>
      </c>
    </row>
    <row r="8" spans="1:4" x14ac:dyDescent="0.25">
      <c r="A8" s="47" t="s">
        <v>184</v>
      </c>
    </row>
    <row r="10" spans="1:4" x14ac:dyDescent="0.25">
      <c r="A10" s="59" t="s">
        <v>1</v>
      </c>
      <c r="B10" s="59" t="s">
        <v>185</v>
      </c>
      <c r="C10" s="59" t="s">
        <v>186</v>
      </c>
      <c r="D10" s="59" t="s">
        <v>187</v>
      </c>
    </row>
    <row r="11" spans="1:4" x14ac:dyDescent="0.25">
      <c r="A11" s="57" t="s">
        <v>188</v>
      </c>
      <c r="B11" s="57" t="s">
        <v>181</v>
      </c>
      <c r="C11" s="60">
        <v>46866</v>
      </c>
      <c r="D11" s="61">
        <f t="shared" ref="D11:D17" si="0">IF(B11=$A$4,$B$4,$B$5)</f>
        <v>1</v>
      </c>
    </row>
    <row r="12" spans="1:4" x14ac:dyDescent="0.25">
      <c r="A12" s="57" t="s">
        <v>189</v>
      </c>
      <c r="B12" s="57" t="s">
        <v>182</v>
      </c>
      <c r="C12" s="60">
        <v>33495</v>
      </c>
      <c r="D12" s="61">
        <f t="shared" si="0"/>
        <v>0.5</v>
      </c>
    </row>
    <row r="13" spans="1:4" x14ac:dyDescent="0.25">
      <c r="A13" s="57" t="s">
        <v>190</v>
      </c>
      <c r="B13" s="57" t="s">
        <v>182</v>
      </c>
      <c r="C13" s="60">
        <v>35087</v>
      </c>
      <c r="D13" s="61">
        <f t="shared" si="0"/>
        <v>0.5</v>
      </c>
    </row>
    <row r="14" spans="1:4" x14ac:dyDescent="0.25">
      <c r="A14" s="57" t="s">
        <v>191</v>
      </c>
      <c r="B14" s="57" t="s">
        <v>181</v>
      </c>
      <c r="C14" s="60">
        <v>42603</v>
      </c>
      <c r="D14" s="61">
        <f t="shared" si="0"/>
        <v>1</v>
      </c>
    </row>
    <row r="15" spans="1:4" x14ac:dyDescent="0.25">
      <c r="A15" s="57" t="s">
        <v>176</v>
      </c>
      <c r="B15" s="57" t="s">
        <v>182</v>
      </c>
      <c r="C15" s="60">
        <v>36971</v>
      </c>
      <c r="D15" s="61">
        <f t="shared" si="0"/>
        <v>0.5</v>
      </c>
    </row>
    <row r="16" spans="1:4" x14ac:dyDescent="0.25">
      <c r="A16" s="57" t="s">
        <v>192</v>
      </c>
      <c r="B16" s="57" t="s">
        <v>181</v>
      </c>
      <c r="C16" s="60">
        <v>41286</v>
      </c>
      <c r="D16" s="61">
        <f t="shared" si="0"/>
        <v>1</v>
      </c>
    </row>
    <row r="17" spans="1:4" x14ac:dyDescent="0.25">
      <c r="A17" s="57" t="s">
        <v>193</v>
      </c>
      <c r="B17" s="57" t="s">
        <v>182</v>
      </c>
      <c r="C17" s="60">
        <v>37732</v>
      </c>
      <c r="D17" s="61">
        <f t="shared" si="0"/>
        <v>0.5</v>
      </c>
    </row>
  </sheetData>
  <pageMargins left="0.7" right="0.7" top="0.75" bottom="0.75" header="0.3" footer="0.3"/>
  <ignoredErrors>
    <ignoredError sqref="D11:D17" unlocked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996"/>
  <sheetViews>
    <sheetView topLeftCell="A10" workbookViewId="0">
      <selection activeCell="A27" sqref="A27"/>
    </sheetView>
  </sheetViews>
  <sheetFormatPr defaultColWidth="14.42578125" defaultRowHeight="15" x14ac:dyDescent="0.25"/>
  <cols>
    <col min="1" max="1" width="21" style="1" customWidth="1"/>
    <col min="2" max="3" width="10.42578125" style="1" customWidth="1"/>
    <col min="4" max="4" width="21.140625" style="1" customWidth="1"/>
    <col min="5" max="5" width="11.7109375" style="1" customWidth="1"/>
    <col min="6" max="7" width="8.7109375" style="1" customWidth="1"/>
    <col min="8" max="8" width="15.140625" style="1" customWidth="1"/>
    <col min="9" max="25" width="8.7109375" style="1" customWidth="1"/>
    <col min="26" max="16384" width="14.42578125" style="1"/>
  </cols>
  <sheetData>
    <row r="1" spans="1:8" x14ac:dyDescent="0.25">
      <c r="A1" s="2" t="s">
        <v>194</v>
      </c>
      <c r="H1" s="41"/>
    </row>
    <row r="2" spans="1:8" x14ac:dyDescent="0.25">
      <c r="A2" s="1" t="s">
        <v>195</v>
      </c>
      <c r="H2" s="40"/>
    </row>
    <row r="3" spans="1:8" x14ac:dyDescent="0.25">
      <c r="A3" s="39" t="s">
        <v>196</v>
      </c>
      <c r="B3" s="1" t="s">
        <v>197</v>
      </c>
      <c r="H3" s="40"/>
    </row>
    <row r="4" spans="1:8" x14ac:dyDescent="0.25">
      <c r="A4" s="1" t="s">
        <v>198</v>
      </c>
      <c r="B4" s="1" t="s">
        <v>199</v>
      </c>
      <c r="H4" s="40"/>
    </row>
    <row r="5" spans="1:8" x14ac:dyDescent="0.25">
      <c r="A5" s="39" t="s">
        <v>200</v>
      </c>
      <c r="B5" s="1" t="s">
        <v>201</v>
      </c>
      <c r="H5" s="40"/>
    </row>
    <row r="6" spans="1:8" x14ac:dyDescent="0.25">
      <c r="A6" s="1" t="s">
        <v>202</v>
      </c>
      <c r="B6" s="1" t="s">
        <v>203</v>
      </c>
      <c r="H6" s="62"/>
    </row>
    <row r="7" spans="1:8" x14ac:dyDescent="0.25">
      <c r="A7" s="1" t="s">
        <v>204</v>
      </c>
      <c r="B7" s="1" t="s">
        <v>205</v>
      </c>
      <c r="H7" s="63"/>
    </row>
    <row r="8" spans="1:8" x14ac:dyDescent="0.25">
      <c r="A8" s="1" t="s">
        <v>206</v>
      </c>
      <c r="B8" s="1" t="s">
        <v>207</v>
      </c>
      <c r="H8" s="40"/>
    </row>
    <row r="9" spans="1:8" x14ac:dyDescent="0.25">
      <c r="H9" s="40"/>
    </row>
    <row r="10" spans="1:8" x14ac:dyDescent="0.25">
      <c r="A10" s="50" t="s">
        <v>208</v>
      </c>
      <c r="H10" s="63"/>
    </row>
    <row r="11" spans="1:8" x14ac:dyDescent="0.25">
      <c r="A11" s="1">
        <v>2</v>
      </c>
      <c r="B11" s="1" t="s">
        <v>209</v>
      </c>
      <c r="C11" s="1">
        <v>3</v>
      </c>
      <c r="D11" s="10">
        <f>A11+C11</f>
        <v>5</v>
      </c>
      <c r="H11" s="62"/>
    </row>
    <row r="12" spans="1:8" x14ac:dyDescent="0.25">
      <c r="A12" s="1">
        <v>3</v>
      </c>
      <c r="B12" s="1" t="s">
        <v>210</v>
      </c>
      <c r="C12" s="1">
        <v>1</v>
      </c>
      <c r="D12" s="10">
        <f>A12-C12</f>
        <v>2</v>
      </c>
      <c r="H12" s="40"/>
    </row>
    <row r="13" spans="1:8" x14ac:dyDescent="0.25">
      <c r="A13" s="1">
        <v>5</v>
      </c>
      <c r="B13" s="1" t="s">
        <v>211</v>
      </c>
      <c r="C13" s="1">
        <v>10</v>
      </c>
      <c r="D13" s="10">
        <f>A13*C13</f>
        <v>50</v>
      </c>
      <c r="H13" s="40"/>
    </row>
    <row r="14" spans="1:8" x14ac:dyDescent="0.25">
      <c r="A14" s="1">
        <v>10</v>
      </c>
      <c r="B14" s="1" t="s">
        <v>212</v>
      </c>
      <c r="C14" s="1">
        <v>2</v>
      </c>
      <c r="D14" s="10">
        <f>A14/C14</f>
        <v>5</v>
      </c>
      <c r="H14" s="40"/>
    </row>
    <row r="15" spans="1:8" x14ac:dyDescent="0.25">
      <c r="H15" s="63"/>
    </row>
    <row r="16" spans="1:8" x14ac:dyDescent="0.25">
      <c r="H16" s="62"/>
    </row>
    <row r="17" spans="1:8" ht="15.75" customHeight="1" x14ac:dyDescent="0.25">
      <c r="A17" s="50" t="s">
        <v>213</v>
      </c>
      <c r="H17" s="62"/>
    </row>
    <row r="18" spans="1:8" ht="15.75" customHeight="1" x14ac:dyDescent="0.25">
      <c r="A18" s="2">
        <v>10</v>
      </c>
      <c r="B18" s="1" t="s">
        <v>214</v>
      </c>
      <c r="C18" s="1">
        <v>100</v>
      </c>
      <c r="D18" s="64">
        <f>A18/C18</f>
        <v>0.1</v>
      </c>
      <c r="H18" s="40"/>
    </row>
    <row r="19" spans="1:8" ht="15.75" customHeight="1" x14ac:dyDescent="0.25">
      <c r="A19" s="2">
        <v>3</v>
      </c>
      <c r="B19" s="1" t="s">
        <v>214</v>
      </c>
      <c r="C19" s="1">
        <v>6</v>
      </c>
      <c r="D19" s="64">
        <f>A19/C19</f>
        <v>0.5</v>
      </c>
      <c r="H19" s="40"/>
    </row>
    <row r="20" spans="1:8" ht="15.75" customHeight="1" x14ac:dyDescent="0.25">
      <c r="A20" s="2">
        <v>1.5</v>
      </c>
      <c r="B20" s="1" t="s">
        <v>214</v>
      </c>
      <c r="C20" s="1">
        <v>1</v>
      </c>
      <c r="D20" s="64">
        <f>A20/C20</f>
        <v>1.5</v>
      </c>
      <c r="H20" s="63"/>
    </row>
    <row r="21" spans="1:8" ht="15.75" customHeight="1" x14ac:dyDescent="0.25">
      <c r="H21" s="40"/>
    </row>
    <row r="22" spans="1:8" ht="15.75" customHeight="1" x14ac:dyDescent="0.25">
      <c r="A22" s="50" t="s">
        <v>215</v>
      </c>
      <c r="H22" s="62"/>
    </row>
    <row r="23" spans="1:8" ht="15.75" customHeight="1" x14ac:dyDescent="0.25">
      <c r="A23" s="2" t="s">
        <v>216</v>
      </c>
      <c r="B23" s="2" t="s">
        <v>217</v>
      </c>
      <c r="C23" s="2" t="s">
        <v>218</v>
      </c>
      <c r="D23" s="2" t="s">
        <v>219</v>
      </c>
      <c r="E23" s="2"/>
      <c r="H23" s="40"/>
    </row>
    <row r="24" spans="1:8" ht="15.75" customHeight="1" x14ac:dyDescent="0.25">
      <c r="A24" s="1" t="s">
        <v>220</v>
      </c>
      <c r="B24" s="1">
        <v>100</v>
      </c>
      <c r="C24" s="1">
        <v>150</v>
      </c>
      <c r="D24" s="69">
        <f>B24-C24/100*100</f>
        <v>-50</v>
      </c>
      <c r="E24" s="65"/>
      <c r="H24" s="40"/>
    </row>
    <row r="25" spans="1:8" ht="15.75" customHeight="1" x14ac:dyDescent="0.25">
      <c r="A25" s="1" t="s">
        <v>221</v>
      </c>
      <c r="B25" s="1">
        <v>100</v>
      </c>
      <c r="C25" s="1">
        <v>50</v>
      </c>
      <c r="D25" s="69">
        <f>B25-C25/100*100</f>
        <v>50</v>
      </c>
      <c r="E25" s="65"/>
      <c r="H25" s="40"/>
    </row>
    <row r="26" spans="1:8" ht="15.75" customHeight="1" x14ac:dyDescent="0.25">
      <c r="H26" s="40"/>
    </row>
    <row r="27" spans="1:8" ht="23.25" x14ac:dyDescent="0.35">
      <c r="A27" s="66" t="s">
        <v>222</v>
      </c>
      <c r="H27" s="40"/>
    </row>
    <row r="28" spans="1:8" ht="15.75" customHeight="1" x14ac:dyDescent="0.25">
      <c r="H28" s="41"/>
    </row>
    <row r="29" spans="1:8" ht="15.75" customHeight="1" x14ac:dyDescent="0.25">
      <c r="H29" s="62"/>
    </row>
    <row r="30" spans="1:8" ht="15.75" customHeight="1" x14ac:dyDescent="0.25">
      <c r="H30" s="40"/>
    </row>
    <row r="31" spans="1:8" ht="15.75" customHeight="1" x14ac:dyDescent="0.25">
      <c r="H31" s="63"/>
    </row>
    <row r="32" spans="1:8" ht="15.75" customHeight="1" x14ac:dyDescent="0.25">
      <c r="H32" s="40"/>
    </row>
    <row r="33" spans="8:8" ht="15.75" customHeight="1" x14ac:dyDescent="0.25">
      <c r="H33" s="40"/>
    </row>
    <row r="34" spans="8:8" ht="15.75" customHeight="1" x14ac:dyDescent="0.25"/>
    <row r="35" spans="8:8" ht="15.75" customHeight="1" x14ac:dyDescent="0.25">
      <c r="H35" s="62"/>
    </row>
    <row r="36" spans="8:8" ht="15.75" customHeight="1" x14ac:dyDescent="0.25">
      <c r="H36" s="40"/>
    </row>
    <row r="37" spans="8:8" ht="15.75" customHeight="1" x14ac:dyDescent="0.25">
      <c r="H37" s="40"/>
    </row>
    <row r="38" spans="8:8" ht="15.75" customHeight="1" x14ac:dyDescent="0.25">
      <c r="H38" s="40"/>
    </row>
    <row r="39" spans="8:8" ht="15.75" customHeight="1" x14ac:dyDescent="0.25">
      <c r="H39" s="67"/>
    </row>
    <row r="40" spans="8:8" ht="15.75" customHeight="1" x14ac:dyDescent="0.25"/>
    <row r="41" spans="8:8" ht="15.75" customHeight="1" x14ac:dyDescent="0.25">
      <c r="H41" s="62"/>
    </row>
    <row r="42" spans="8:8" ht="15.75" customHeight="1" x14ac:dyDescent="0.25">
      <c r="H42" s="41"/>
    </row>
    <row r="43" spans="8:8" ht="15.75" customHeight="1" x14ac:dyDescent="0.25">
      <c r="H43" s="40"/>
    </row>
    <row r="44" spans="8:8" ht="15.75" customHeight="1" x14ac:dyDescent="0.25">
      <c r="H44" s="63"/>
    </row>
    <row r="45" spans="8:8" ht="15.75" customHeight="1" x14ac:dyDescent="0.25">
      <c r="H45" s="40"/>
    </row>
    <row r="46" spans="8:8" ht="15.75" customHeight="1" x14ac:dyDescent="0.25">
      <c r="H46" s="40"/>
    </row>
    <row r="47" spans="8:8" ht="15.75" customHeight="1" x14ac:dyDescent="0.25">
      <c r="H47" s="41"/>
    </row>
    <row r="48" spans="8:8" ht="15.75" customHeight="1" x14ac:dyDescent="0.25">
      <c r="H48" s="40"/>
    </row>
    <row r="49" spans="8:9" ht="15.75" customHeight="1" x14ac:dyDescent="0.25">
      <c r="H49" s="40"/>
    </row>
    <row r="50" spans="8:9" ht="15.75" customHeight="1" x14ac:dyDescent="0.25">
      <c r="H50" s="40"/>
    </row>
    <row r="51" spans="8:9" ht="15.75" customHeight="1" x14ac:dyDescent="0.25">
      <c r="H51" s="67"/>
    </row>
    <row r="52" spans="8:9" ht="15.75" customHeight="1" x14ac:dyDescent="0.25"/>
    <row r="53" spans="8:9" ht="15.75" customHeight="1" x14ac:dyDescent="0.25">
      <c r="H53" s="62"/>
    </row>
    <row r="54" spans="8:9" ht="15.75" customHeight="1" x14ac:dyDescent="0.25">
      <c r="H54" s="41"/>
    </row>
    <row r="55" spans="8:9" ht="15.75" customHeight="1" x14ac:dyDescent="0.25">
      <c r="H55" s="40"/>
    </row>
    <row r="56" spans="8:9" ht="15.75" customHeight="1" x14ac:dyDescent="0.25">
      <c r="H56" s="63"/>
    </row>
    <row r="57" spans="8:9" ht="15.75" customHeight="1" x14ac:dyDescent="0.25">
      <c r="H57" s="41"/>
    </row>
    <row r="58" spans="8:9" ht="15.75" customHeight="1" x14ac:dyDescent="0.25">
      <c r="H58" s="67"/>
    </row>
    <row r="59" spans="8:9" ht="15.75" customHeight="1" x14ac:dyDescent="0.25"/>
    <row r="60" spans="8:9" ht="15.75" customHeight="1" x14ac:dyDescent="0.25"/>
    <row r="61" spans="8:9" ht="15.75" customHeight="1" x14ac:dyDescent="0.25">
      <c r="H61" s="50"/>
    </row>
    <row r="62" spans="8:9" ht="15.75" customHeight="1" x14ac:dyDescent="0.25"/>
    <row r="63" spans="8:9" ht="15.75" customHeight="1" x14ac:dyDescent="0.25">
      <c r="H63" s="2"/>
    </row>
    <row r="64" spans="8:9" ht="15.75" customHeight="1" x14ac:dyDescent="0.25">
      <c r="H64" s="68"/>
      <c r="I64" s="132"/>
    </row>
    <row r="65" spans="8:9" ht="15.75" customHeight="1" x14ac:dyDescent="0.25">
      <c r="I65" s="133"/>
    </row>
    <row r="66" spans="8:9" ht="15.75" customHeight="1" x14ac:dyDescent="0.25"/>
    <row r="67" spans="8:9" ht="15.75" customHeight="1" x14ac:dyDescent="0.25"/>
    <row r="68" spans="8:9" ht="15.75" customHeight="1" x14ac:dyDescent="0.25"/>
    <row r="69" spans="8:9" ht="15.75" customHeight="1" x14ac:dyDescent="0.25"/>
    <row r="70" spans="8:9" ht="15.75" customHeight="1" x14ac:dyDescent="0.25">
      <c r="H70" s="39"/>
    </row>
    <row r="71" spans="8:9" ht="15.75" customHeight="1" x14ac:dyDescent="0.25"/>
    <row r="72" spans="8:9" ht="15.75" customHeight="1" x14ac:dyDescent="0.25">
      <c r="H72" s="2"/>
    </row>
    <row r="73" spans="8:9" ht="15.75" customHeight="1" x14ac:dyDescent="0.25"/>
    <row r="74" spans="8:9" ht="15.75" customHeight="1" x14ac:dyDescent="0.25">
      <c r="H74" s="68"/>
      <c r="I74" s="68"/>
    </row>
    <row r="75" spans="8:9" ht="15.75" customHeight="1" x14ac:dyDescent="0.25">
      <c r="H75" s="134"/>
      <c r="I75" s="133"/>
    </row>
    <row r="76" spans="8:9" ht="15.75" customHeight="1" x14ac:dyDescent="0.25"/>
    <row r="77" spans="8:9" ht="15.75" customHeight="1" x14ac:dyDescent="0.25">
      <c r="H77" s="39"/>
    </row>
    <row r="78" spans="8:9" ht="15.75" customHeight="1" x14ac:dyDescent="0.25"/>
    <row r="79" spans="8:9" ht="15.75" customHeight="1" x14ac:dyDescent="0.25"/>
    <row r="80" spans="8:9" ht="15.75" customHeight="1" x14ac:dyDescent="0.25"/>
    <row r="81" spans="8:8" ht="15.75" customHeight="1" x14ac:dyDescent="0.25"/>
    <row r="82" spans="8:8" ht="15.75" customHeight="1" x14ac:dyDescent="0.25"/>
    <row r="83" spans="8:8" ht="15.75" customHeight="1" x14ac:dyDescent="0.25"/>
    <row r="84" spans="8:8" ht="15.75" customHeight="1" x14ac:dyDescent="0.25"/>
    <row r="85" spans="8:8" ht="15.75" customHeight="1" x14ac:dyDescent="0.25"/>
    <row r="86" spans="8:8" ht="15.75" customHeight="1" x14ac:dyDescent="0.25">
      <c r="H86" s="40"/>
    </row>
    <row r="87" spans="8:8" ht="15.75" customHeight="1" x14ac:dyDescent="0.25"/>
    <row r="88" spans="8:8" ht="15.75" customHeight="1" x14ac:dyDescent="0.25"/>
    <row r="89" spans="8:8" ht="15.75" customHeight="1" x14ac:dyDescent="0.25"/>
    <row r="90" spans="8:8" ht="15.75" customHeight="1" x14ac:dyDescent="0.25"/>
    <row r="91" spans="8:8" ht="15.75" customHeight="1" x14ac:dyDescent="0.25"/>
    <row r="92" spans="8:8" ht="15.75" customHeight="1" x14ac:dyDescent="0.25"/>
    <row r="93" spans="8:8" ht="15.75" customHeight="1" x14ac:dyDescent="0.25"/>
    <row r="94" spans="8:8" ht="15.75" customHeight="1" x14ac:dyDescent="0.25">
      <c r="H94" s="40"/>
    </row>
    <row r="95" spans="8:8" ht="15.75" customHeight="1" x14ac:dyDescent="0.25">
      <c r="H95" s="40"/>
    </row>
    <row r="96" spans="8:8" ht="15.75" customHeight="1" x14ac:dyDescent="0.25">
      <c r="H96" s="40"/>
    </row>
    <row r="97" spans="8:8" ht="15.75" customHeight="1" x14ac:dyDescent="0.25">
      <c r="H97" s="40"/>
    </row>
    <row r="98" spans="8:8" ht="15.75" customHeight="1" x14ac:dyDescent="0.25">
      <c r="H98" s="40"/>
    </row>
    <row r="99" spans="8:8" ht="15.75" customHeight="1" x14ac:dyDescent="0.25"/>
    <row r="100" spans="8:8" ht="15.75" customHeight="1" x14ac:dyDescent="0.25"/>
    <row r="101" spans="8:8" ht="15.75" customHeight="1" x14ac:dyDescent="0.25"/>
    <row r="102" spans="8:8" ht="15.75" customHeight="1" x14ac:dyDescent="0.25"/>
    <row r="103" spans="8:8" ht="15.75" customHeight="1" x14ac:dyDescent="0.25"/>
    <row r="104" spans="8:8" ht="15.75" customHeight="1" x14ac:dyDescent="0.25"/>
    <row r="105" spans="8:8" ht="15.75" customHeight="1" x14ac:dyDescent="0.25"/>
    <row r="106" spans="8:8" ht="15.75" customHeight="1" x14ac:dyDescent="0.25"/>
    <row r="107" spans="8:8" ht="15.75" customHeight="1" x14ac:dyDescent="0.25"/>
    <row r="108" spans="8:8" ht="15.75" customHeight="1" x14ac:dyDescent="0.25"/>
    <row r="109" spans="8:8" ht="15.75" customHeight="1" x14ac:dyDescent="0.25"/>
    <row r="110" spans="8:8" ht="15.75" customHeight="1" x14ac:dyDescent="0.25"/>
    <row r="111" spans="8:8" ht="15.75" customHeight="1" x14ac:dyDescent="0.25"/>
    <row r="112" spans="8: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mergeCells count="2">
    <mergeCell ref="I64:I65"/>
    <mergeCell ref="H75:I75"/>
  </mergeCells>
  <hyperlinks>
    <hyperlink ref="A27" location="'Math 1 - Answer'!A1" display="Click here to view the Answers!" xr:uid="{00000000-0004-0000-0D00-000000000000}"/>
  </hyperlinks>
  <pageMargins left="0.7" right="0.7" top="0.75" bottom="0.75" header="0.3" footer="0.3"/>
  <ignoredErrors>
    <ignoredError sqref="D24:D25 D11:D20" unlocked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8"/>
  <sheetViews>
    <sheetView workbookViewId="0">
      <selection activeCell="B18" sqref="B18"/>
    </sheetView>
  </sheetViews>
  <sheetFormatPr defaultRowHeight="15" x14ac:dyDescent="0.25"/>
  <cols>
    <col min="1" max="1" width="19.28515625" style="20" customWidth="1"/>
    <col min="2" max="2" width="16.28515625" style="20" bestFit="1" customWidth="1"/>
    <col min="3" max="16384" width="9.140625" style="20"/>
  </cols>
  <sheetData>
    <row r="1" spans="1:2" x14ac:dyDescent="0.25">
      <c r="A1" s="1" t="s">
        <v>223</v>
      </c>
    </row>
    <row r="2" spans="1:2" x14ac:dyDescent="0.25">
      <c r="A2" s="1" t="s">
        <v>224</v>
      </c>
    </row>
    <row r="4" spans="1:2" x14ac:dyDescent="0.25">
      <c r="A4" s="50"/>
    </row>
    <row r="5" spans="1:2" x14ac:dyDescent="0.25">
      <c r="A5" s="50" t="s">
        <v>22</v>
      </c>
      <c r="B5" s="50" t="s">
        <v>225</v>
      </c>
    </row>
    <row r="6" spans="1:2" x14ac:dyDescent="0.25">
      <c r="A6" s="1" t="s">
        <v>226</v>
      </c>
      <c r="B6" s="70">
        <v>759</v>
      </c>
    </row>
    <row r="7" spans="1:2" x14ac:dyDescent="0.25">
      <c r="A7" s="1" t="s">
        <v>227</v>
      </c>
      <c r="B7" s="70">
        <v>200</v>
      </c>
    </row>
    <row r="8" spans="1:2" x14ac:dyDescent="0.25">
      <c r="A8" s="1" t="s">
        <v>228</v>
      </c>
      <c r="B8" s="70">
        <v>42</v>
      </c>
    </row>
    <row r="9" spans="1:2" x14ac:dyDescent="0.25">
      <c r="A9" s="1" t="s">
        <v>229</v>
      </c>
      <c r="B9" s="70">
        <v>423</v>
      </c>
    </row>
    <row r="10" spans="1:2" x14ac:dyDescent="0.25">
      <c r="A10" s="1" t="s">
        <v>230</v>
      </c>
      <c r="B10" s="70">
        <v>200</v>
      </c>
    </row>
    <row r="11" spans="1:2" x14ac:dyDescent="0.25">
      <c r="A11" s="1" t="s">
        <v>231</v>
      </c>
      <c r="B11" s="70">
        <v>50</v>
      </c>
    </row>
    <row r="12" spans="1:2" x14ac:dyDescent="0.25">
      <c r="A12" s="1" t="s">
        <v>232</v>
      </c>
      <c r="B12" s="70">
        <v>700</v>
      </c>
    </row>
    <row r="13" spans="1:2" x14ac:dyDescent="0.25">
      <c r="A13" s="1" t="s">
        <v>233</v>
      </c>
      <c r="B13" s="70">
        <v>450</v>
      </c>
    </row>
    <row r="14" spans="1:2" x14ac:dyDescent="0.25">
      <c r="A14" s="1" t="s">
        <v>234</v>
      </c>
      <c r="B14" s="70">
        <v>605</v>
      </c>
    </row>
    <row r="15" spans="1:2" x14ac:dyDescent="0.25">
      <c r="A15" s="1" t="s">
        <v>235</v>
      </c>
      <c r="B15" s="70">
        <v>240</v>
      </c>
    </row>
    <row r="16" spans="1:2" x14ac:dyDescent="0.25">
      <c r="A16" s="1" t="s">
        <v>236</v>
      </c>
      <c r="B16" s="70">
        <v>685</v>
      </c>
    </row>
    <row r="17" spans="1:4" ht="15.75" thickBot="1" x14ac:dyDescent="0.3">
      <c r="A17" s="1" t="s">
        <v>237</v>
      </c>
      <c r="B17" s="70">
        <v>295</v>
      </c>
    </row>
    <row r="18" spans="1:4" ht="15.75" thickBot="1" x14ac:dyDescent="0.3">
      <c r="A18" s="1" t="s">
        <v>238</v>
      </c>
      <c r="B18" s="71">
        <f>SUM(B6:B17)</f>
        <v>4649</v>
      </c>
      <c r="C18" s="2" t="s">
        <v>239</v>
      </c>
      <c r="D18" s="2"/>
    </row>
  </sheetData>
  <pageMargins left="0.7" right="0.7" top="0.75" bottom="0.75" header="0.3" footer="0.3"/>
  <ignoredErrors>
    <ignoredError sqref="B18" unlockedFormula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95"/>
  <sheetViews>
    <sheetView topLeftCell="A74" workbookViewId="0">
      <selection activeCell="B95" sqref="B95"/>
    </sheetView>
  </sheetViews>
  <sheetFormatPr defaultRowHeight="15" x14ac:dyDescent="0.25"/>
  <cols>
    <col min="1" max="1" width="19.28515625" style="20" customWidth="1"/>
    <col min="2" max="2" width="16.28515625" style="20" bestFit="1" customWidth="1"/>
    <col min="3" max="16384" width="9.140625" style="20"/>
  </cols>
  <sheetData>
    <row r="1" spans="1:2" x14ac:dyDescent="0.25">
      <c r="A1" s="1" t="s">
        <v>240</v>
      </c>
    </row>
    <row r="2" spans="1:2" x14ac:dyDescent="0.25">
      <c r="A2" s="1" t="s">
        <v>241</v>
      </c>
    </row>
    <row r="4" spans="1:2" x14ac:dyDescent="0.25">
      <c r="A4" s="72" t="s">
        <v>242</v>
      </c>
      <c r="B4" s="73" t="s">
        <v>243</v>
      </c>
    </row>
    <row r="5" spans="1:2" x14ac:dyDescent="0.25">
      <c r="A5" s="74">
        <v>42005</v>
      </c>
      <c r="B5" s="75">
        <v>432.17</v>
      </c>
    </row>
    <row r="6" spans="1:2" x14ac:dyDescent="0.25">
      <c r="A6" s="74">
        <v>42351</v>
      </c>
      <c r="B6" s="75">
        <v>528.5</v>
      </c>
    </row>
    <row r="7" spans="1:2" x14ac:dyDescent="0.25">
      <c r="A7" s="74">
        <v>42007</v>
      </c>
      <c r="B7" s="75">
        <v>810.71</v>
      </c>
    </row>
    <row r="8" spans="1:2" x14ac:dyDescent="0.25">
      <c r="A8" s="74">
        <v>42008</v>
      </c>
      <c r="B8" s="75">
        <v>418.54</v>
      </c>
    </row>
    <row r="9" spans="1:2" x14ac:dyDescent="0.25">
      <c r="A9" s="74">
        <v>42009</v>
      </c>
      <c r="B9" s="75">
        <v>722.22</v>
      </c>
    </row>
    <row r="10" spans="1:2" x14ac:dyDescent="0.25">
      <c r="A10" s="74">
        <v>42010</v>
      </c>
      <c r="B10" s="75">
        <v>460.28</v>
      </c>
    </row>
    <row r="11" spans="1:2" x14ac:dyDescent="0.25">
      <c r="A11" s="74">
        <v>42349</v>
      </c>
      <c r="B11" s="75">
        <v>483.58</v>
      </c>
    </row>
    <row r="12" spans="1:2" x14ac:dyDescent="0.25">
      <c r="A12" s="74">
        <v>42012</v>
      </c>
      <c r="B12" s="75">
        <v>114.53</v>
      </c>
    </row>
    <row r="13" spans="1:2" x14ac:dyDescent="0.25">
      <c r="A13" s="74">
        <v>42013</v>
      </c>
      <c r="B13" s="75">
        <v>609.12</v>
      </c>
    </row>
    <row r="14" spans="1:2" x14ac:dyDescent="0.25">
      <c r="A14" s="74">
        <v>42014</v>
      </c>
      <c r="B14" s="75">
        <v>1197.9000000000001</v>
      </c>
    </row>
    <row r="15" spans="1:2" x14ac:dyDescent="0.25">
      <c r="A15" s="74">
        <v>42015</v>
      </c>
      <c r="B15" s="75">
        <v>228.89</v>
      </c>
    </row>
    <row r="16" spans="1:2" x14ac:dyDescent="0.25">
      <c r="A16" s="74">
        <v>42016</v>
      </c>
      <c r="B16" s="75">
        <v>1380.07</v>
      </c>
    </row>
    <row r="17" spans="1:2" x14ac:dyDescent="0.25">
      <c r="A17" s="74">
        <v>42017</v>
      </c>
      <c r="B17" s="75">
        <v>1026.96</v>
      </c>
    </row>
    <row r="18" spans="1:2" x14ac:dyDescent="0.25">
      <c r="A18" s="74">
        <v>42018</v>
      </c>
      <c r="B18" s="75">
        <v>760.24</v>
      </c>
    </row>
    <row r="19" spans="1:2" x14ac:dyDescent="0.25">
      <c r="A19" s="74">
        <v>42019</v>
      </c>
      <c r="B19" s="75">
        <v>414.11</v>
      </c>
    </row>
    <row r="20" spans="1:2" x14ac:dyDescent="0.25">
      <c r="A20" s="74">
        <v>42020</v>
      </c>
      <c r="B20" s="75">
        <v>1728.81</v>
      </c>
    </row>
    <row r="21" spans="1:2" x14ac:dyDescent="0.25">
      <c r="A21" s="74">
        <v>42021</v>
      </c>
      <c r="B21" s="75">
        <v>276.06</v>
      </c>
    </row>
    <row r="22" spans="1:2" x14ac:dyDescent="0.25">
      <c r="A22" s="74">
        <v>42022</v>
      </c>
      <c r="B22" s="75">
        <v>462.22</v>
      </c>
    </row>
    <row r="23" spans="1:2" x14ac:dyDescent="0.25">
      <c r="A23" s="74">
        <v>42023</v>
      </c>
      <c r="B23" s="75">
        <v>1281.0999999999999</v>
      </c>
    </row>
    <row r="24" spans="1:2" x14ac:dyDescent="0.25">
      <c r="A24" s="74">
        <v>42024</v>
      </c>
      <c r="B24" s="75">
        <v>1113.7</v>
      </c>
    </row>
    <row r="25" spans="1:2" x14ac:dyDescent="0.25">
      <c r="A25" s="74">
        <v>42025</v>
      </c>
      <c r="B25" s="75">
        <v>594.09</v>
      </c>
    </row>
    <row r="26" spans="1:2" x14ac:dyDescent="0.25">
      <c r="A26" s="74">
        <v>42026</v>
      </c>
      <c r="B26" s="75">
        <v>432.67</v>
      </c>
    </row>
    <row r="27" spans="1:2" x14ac:dyDescent="0.25">
      <c r="A27" s="74">
        <v>42027</v>
      </c>
      <c r="B27" s="75">
        <v>874.45</v>
      </c>
    </row>
    <row r="28" spans="1:2" x14ac:dyDescent="0.25">
      <c r="A28" s="74">
        <v>42028</v>
      </c>
      <c r="B28" s="75">
        <v>880.38</v>
      </c>
    </row>
    <row r="29" spans="1:2" x14ac:dyDescent="0.25">
      <c r="A29" s="74">
        <v>42029</v>
      </c>
      <c r="B29" s="75">
        <v>798.53</v>
      </c>
    </row>
    <row r="30" spans="1:2" x14ac:dyDescent="0.25">
      <c r="A30" s="74">
        <v>42318</v>
      </c>
      <c r="B30" s="75">
        <v>572.41999999999996</v>
      </c>
    </row>
    <row r="31" spans="1:2" x14ac:dyDescent="0.25">
      <c r="A31" s="74">
        <v>42031</v>
      </c>
      <c r="B31" s="75">
        <v>330.61</v>
      </c>
    </row>
    <row r="32" spans="1:2" x14ac:dyDescent="0.25">
      <c r="A32" s="74">
        <v>42032</v>
      </c>
      <c r="B32" s="75">
        <v>567.17999999999995</v>
      </c>
    </row>
    <row r="33" spans="1:2" x14ac:dyDescent="0.25">
      <c r="A33" s="74">
        <v>42033</v>
      </c>
      <c r="B33" s="75">
        <v>1449.21</v>
      </c>
    </row>
    <row r="34" spans="1:2" x14ac:dyDescent="0.25">
      <c r="A34" s="74">
        <v>42034</v>
      </c>
      <c r="B34" s="75">
        <v>459.29</v>
      </c>
    </row>
    <row r="35" spans="1:2" x14ac:dyDescent="0.25">
      <c r="A35" s="74">
        <v>42035</v>
      </c>
      <c r="B35" s="75">
        <v>357.55</v>
      </c>
    </row>
    <row r="36" spans="1:2" x14ac:dyDescent="0.25">
      <c r="A36" s="74">
        <v>42036</v>
      </c>
      <c r="B36" s="75">
        <v>154.34</v>
      </c>
    </row>
    <row r="37" spans="1:2" x14ac:dyDescent="0.25">
      <c r="A37" s="74">
        <v>42037</v>
      </c>
      <c r="B37" s="75">
        <v>152.76</v>
      </c>
    </row>
    <row r="38" spans="1:2" x14ac:dyDescent="0.25">
      <c r="A38" s="74">
        <v>42038</v>
      </c>
      <c r="B38" s="75">
        <v>570.22</v>
      </c>
    </row>
    <row r="39" spans="1:2" x14ac:dyDescent="0.25">
      <c r="A39" s="74">
        <v>42039</v>
      </c>
      <c r="B39" s="75">
        <v>987.62</v>
      </c>
    </row>
    <row r="40" spans="1:2" x14ac:dyDescent="0.25">
      <c r="A40" s="74">
        <v>42040</v>
      </c>
      <c r="B40" s="75">
        <v>1755.71</v>
      </c>
    </row>
    <row r="41" spans="1:2" x14ac:dyDescent="0.25">
      <c r="A41" s="74">
        <v>42041</v>
      </c>
      <c r="B41" s="75">
        <v>378.27</v>
      </c>
    </row>
    <row r="42" spans="1:2" x14ac:dyDescent="0.25">
      <c r="A42" s="74">
        <v>42042</v>
      </c>
      <c r="B42" s="75">
        <v>1323.81</v>
      </c>
    </row>
    <row r="43" spans="1:2" x14ac:dyDescent="0.25">
      <c r="A43" s="74">
        <v>42043</v>
      </c>
      <c r="B43" s="75">
        <v>399.02</v>
      </c>
    </row>
    <row r="44" spans="1:2" x14ac:dyDescent="0.25">
      <c r="A44" s="74">
        <v>42044</v>
      </c>
      <c r="B44" s="75">
        <v>154.94999999999999</v>
      </c>
    </row>
    <row r="45" spans="1:2" x14ac:dyDescent="0.25">
      <c r="A45" s="74">
        <v>42045</v>
      </c>
      <c r="B45" s="75">
        <v>1254.57</v>
      </c>
    </row>
    <row r="46" spans="1:2" x14ac:dyDescent="0.25">
      <c r="A46" s="74">
        <v>42046</v>
      </c>
      <c r="B46" s="75">
        <v>627.32000000000005</v>
      </c>
    </row>
    <row r="47" spans="1:2" x14ac:dyDescent="0.25">
      <c r="A47" s="74">
        <v>42230</v>
      </c>
      <c r="B47" s="75">
        <v>880.6</v>
      </c>
    </row>
    <row r="48" spans="1:2" x14ac:dyDescent="0.25">
      <c r="A48" s="74">
        <v>42048</v>
      </c>
      <c r="B48" s="75">
        <v>1196.03</v>
      </c>
    </row>
    <row r="49" spans="1:2" x14ac:dyDescent="0.25">
      <c r="A49" s="74">
        <v>42049</v>
      </c>
      <c r="B49" s="75">
        <v>782.32</v>
      </c>
    </row>
    <row r="50" spans="1:2" x14ac:dyDescent="0.25">
      <c r="A50" s="74">
        <v>42050</v>
      </c>
      <c r="B50" s="75">
        <v>1323.35</v>
      </c>
    </row>
    <row r="51" spans="1:2" x14ac:dyDescent="0.25">
      <c r="A51" s="74">
        <v>42051</v>
      </c>
      <c r="B51" s="75">
        <v>209.92</v>
      </c>
    </row>
    <row r="52" spans="1:2" x14ac:dyDescent="0.25">
      <c r="A52" s="74">
        <v>42052</v>
      </c>
      <c r="B52" s="75">
        <v>1232.05</v>
      </c>
    </row>
    <row r="53" spans="1:2" x14ac:dyDescent="0.25">
      <c r="A53" s="74">
        <v>42053</v>
      </c>
      <c r="B53" s="75">
        <v>713.28</v>
      </c>
    </row>
    <row r="54" spans="1:2" x14ac:dyDescent="0.25">
      <c r="A54" s="74">
        <v>42054</v>
      </c>
      <c r="B54" s="75">
        <v>1674.82</v>
      </c>
    </row>
    <row r="55" spans="1:2" x14ac:dyDescent="0.25">
      <c r="A55" s="74">
        <v>42055</v>
      </c>
      <c r="B55" s="75">
        <v>1161.25</v>
      </c>
    </row>
    <row r="56" spans="1:2" x14ac:dyDescent="0.25">
      <c r="A56" s="74">
        <v>42056</v>
      </c>
      <c r="B56" s="75">
        <v>897.63</v>
      </c>
    </row>
    <row r="57" spans="1:2" x14ac:dyDescent="0.25">
      <c r="A57" s="74">
        <v>42057</v>
      </c>
      <c r="B57" s="75">
        <v>1647.26</v>
      </c>
    </row>
    <row r="58" spans="1:2" x14ac:dyDescent="0.25">
      <c r="A58" s="74">
        <v>42058</v>
      </c>
      <c r="B58" s="75">
        <v>1121.96</v>
      </c>
    </row>
    <row r="59" spans="1:2" x14ac:dyDescent="0.25">
      <c r="A59" s="74">
        <v>42059</v>
      </c>
      <c r="B59" s="75">
        <v>352.2</v>
      </c>
    </row>
    <row r="60" spans="1:2" x14ac:dyDescent="0.25">
      <c r="A60" s="74">
        <v>42060</v>
      </c>
      <c r="B60" s="75">
        <v>270.77999999999997</v>
      </c>
    </row>
    <row r="61" spans="1:2" x14ac:dyDescent="0.25">
      <c r="A61" s="74">
        <v>42061</v>
      </c>
      <c r="B61" s="75">
        <v>456.41</v>
      </c>
    </row>
    <row r="62" spans="1:2" x14ac:dyDescent="0.25">
      <c r="A62" s="74">
        <v>42062</v>
      </c>
      <c r="B62" s="75">
        <v>441</v>
      </c>
    </row>
    <row r="63" spans="1:2" x14ac:dyDescent="0.25">
      <c r="A63" s="74">
        <v>42063</v>
      </c>
      <c r="B63" s="75">
        <v>252.44</v>
      </c>
    </row>
    <row r="64" spans="1:2" x14ac:dyDescent="0.25">
      <c r="A64" s="74">
        <v>42064</v>
      </c>
      <c r="B64" s="75">
        <v>1298.92</v>
      </c>
    </row>
    <row r="65" spans="1:2" x14ac:dyDescent="0.25">
      <c r="A65" s="74">
        <v>42065</v>
      </c>
      <c r="B65" s="75">
        <v>1178.07</v>
      </c>
    </row>
    <row r="66" spans="1:2" x14ac:dyDescent="0.25">
      <c r="A66" s="74">
        <v>42066</v>
      </c>
      <c r="B66" s="75">
        <v>459.95</v>
      </c>
    </row>
    <row r="67" spans="1:2" x14ac:dyDescent="0.25">
      <c r="A67" s="74">
        <v>42067</v>
      </c>
      <c r="B67" s="75">
        <v>1219.7</v>
      </c>
    </row>
    <row r="68" spans="1:2" x14ac:dyDescent="0.25">
      <c r="A68" s="74">
        <v>42068</v>
      </c>
      <c r="B68" s="75">
        <v>152.24</v>
      </c>
    </row>
    <row r="69" spans="1:2" x14ac:dyDescent="0.25">
      <c r="A69" s="74">
        <v>42069</v>
      </c>
      <c r="B69" s="75">
        <v>770.8</v>
      </c>
    </row>
    <row r="70" spans="1:2" x14ac:dyDescent="0.25">
      <c r="A70" s="74">
        <v>42070</v>
      </c>
      <c r="B70" s="75">
        <v>1357.25</v>
      </c>
    </row>
    <row r="71" spans="1:2" x14ac:dyDescent="0.25">
      <c r="A71" s="74">
        <v>42187</v>
      </c>
      <c r="B71" s="75">
        <v>220.18</v>
      </c>
    </row>
    <row r="72" spans="1:2" x14ac:dyDescent="0.25">
      <c r="A72" s="74">
        <v>42072</v>
      </c>
      <c r="B72" s="75">
        <v>1102.81</v>
      </c>
    </row>
    <row r="73" spans="1:2" x14ac:dyDescent="0.25">
      <c r="A73" s="74">
        <v>42073</v>
      </c>
      <c r="B73" s="75">
        <v>1566.83</v>
      </c>
    </row>
    <row r="74" spans="1:2" x14ac:dyDescent="0.25">
      <c r="A74" s="74">
        <v>42074</v>
      </c>
      <c r="B74" s="75">
        <v>437.92</v>
      </c>
    </row>
    <row r="75" spans="1:2" x14ac:dyDescent="0.25">
      <c r="A75" s="74">
        <v>42075</v>
      </c>
      <c r="B75" s="75">
        <v>1216.1199999999999</v>
      </c>
    </row>
    <row r="76" spans="1:2" x14ac:dyDescent="0.25">
      <c r="A76" s="74">
        <v>42076</v>
      </c>
      <c r="B76" s="75">
        <v>273.10000000000002</v>
      </c>
    </row>
    <row r="77" spans="1:2" x14ac:dyDescent="0.25">
      <c r="A77" s="74">
        <v>42077</v>
      </c>
      <c r="B77" s="75">
        <v>242.26</v>
      </c>
    </row>
    <row r="78" spans="1:2" x14ac:dyDescent="0.25">
      <c r="A78" s="74">
        <v>42078</v>
      </c>
      <c r="B78" s="75">
        <v>1512.6</v>
      </c>
    </row>
    <row r="79" spans="1:2" x14ac:dyDescent="0.25">
      <c r="A79" s="74">
        <v>42079</v>
      </c>
      <c r="B79" s="75">
        <v>783.75</v>
      </c>
    </row>
    <row r="80" spans="1:2" x14ac:dyDescent="0.25">
      <c r="A80" s="74">
        <v>42189</v>
      </c>
      <c r="B80" s="75">
        <v>667.99</v>
      </c>
    </row>
    <row r="81" spans="1:3" x14ac:dyDescent="0.25">
      <c r="A81" s="74">
        <v>42081</v>
      </c>
      <c r="B81" s="75">
        <v>1166.31</v>
      </c>
    </row>
    <row r="82" spans="1:3" x14ac:dyDescent="0.25">
      <c r="A82" s="74">
        <v>42082</v>
      </c>
      <c r="B82" s="75">
        <v>770.18</v>
      </c>
    </row>
    <row r="83" spans="1:3" x14ac:dyDescent="0.25">
      <c r="A83" s="74">
        <v>42083</v>
      </c>
      <c r="B83" s="75">
        <v>132.34</v>
      </c>
    </row>
    <row r="84" spans="1:3" x14ac:dyDescent="0.25">
      <c r="A84" s="74">
        <v>42084</v>
      </c>
      <c r="B84" s="75">
        <v>1188.81</v>
      </c>
    </row>
    <row r="85" spans="1:3" x14ac:dyDescent="0.25">
      <c r="A85" s="74">
        <v>42085</v>
      </c>
      <c r="B85" s="75">
        <v>198.06</v>
      </c>
    </row>
    <row r="86" spans="1:3" x14ac:dyDescent="0.25">
      <c r="A86" s="74">
        <v>42086</v>
      </c>
      <c r="B86" s="75">
        <v>594.16999999999996</v>
      </c>
    </row>
    <row r="87" spans="1:3" x14ac:dyDescent="0.25">
      <c r="A87" s="74">
        <v>42087</v>
      </c>
      <c r="B87" s="75">
        <v>931.09</v>
      </c>
    </row>
    <row r="88" spans="1:3" x14ac:dyDescent="0.25">
      <c r="A88" s="74">
        <v>42088</v>
      </c>
      <c r="B88" s="75">
        <v>299.64</v>
      </c>
    </row>
    <row r="89" spans="1:3" x14ac:dyDescent="0.25">
      <c r="A89" s="74">
        <v>42223</v>
      </c>
      <c r="B89" s="75">
        <v>1701.68</v>
      </c>
    </row>
    <row r="90" spans="1:3" x14ac:dyDescent="0.25">
      <c r="A90" s="74">
        <v>42090</v>
      </c>
      <c r="B90" s="75">
        <v>399.15</v>
      </c>
    </row>
    <row r="91" spans="1:3" x14ac:dyDescent="0.25">
      <c r="A91" s="74">
        <v>42091</v>
      </c>
      <c r="B91" s="75">
        <v>374.81</v>
      </c>
    </row>
    <row r="92" spans="1:3" x14ac:dyDescent="0.25">
      <c r="A92" s="74">
        <v>42092</v>
      </c>
      <c r="B92" s="75">
        <v>462.17</v>
      </c>
    </row>
    <row r="93" spans="1:3" x14ac:dyDescent="0.25">
      <c r="A93" s="74">
        <v>42093</v>
      </c>
      <c r="B93" s="75">
        <v>924.29</v>
      </c>
    </row>
    <row r="94" spans="1:3" x14ac:dyDescent="0.25">
      <c r="A94" s="74">
        <v>42094</v>
      </c>
      <c r="B94" s="75">
        <v>5000.6000000000004</v>
      </c>
    </row>
    <row r="95" spans="1:3" x14ac:dyDescent="0.25">
      <c r="A95" s="76"/>
      <c r="B95" s="77">
        <f>SUM(B5:B94)</f>
        <v>72741.76999999996</v>
      </c>
      <c r="C95" s="2" t="s">
        <v>239</v>
      </c>
    </row>
  </sheetData>
  <pageMargins left="0.7" right="0.7" top="0.75" bottom="0.75" header="0.3" footer="0.3"/>
  <ignoredErrors>
    <ignoredError sqref="B95" unlockedFormula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82"/>
  <sheetViews>
    <sheetView workbookViewId="0">
      <selection activeCell="B1" sqref="B1"/>
    </sheetView>
  </sheetViews>
  <sheetFormatPr defaultRowHeight="15" x14ac:dyDescent="0.25"/>
  <cols>
    <col min="1" max="1" width="5.140625" style="20" customWidth="1"/>
    <col min="2" max="2" width="27.42578125" style="20" customWidth="1"/>
    <col min="3" max="3" width="17.7109375" style="20" customWidth="1"/>
    <col min="4" max="16384" width="9.140625" style="20"/>
  </cols>
  <sheetData>
    <row r="1" spans="1:6" x14ac:dyDescent="0.25">
      <c r="A1" s="2">
        <v>1</v>
      </c>
      <c r="B1" s="1" t="s">
        <v>244</v>
      </c>
    </row>
    <row r="3" spans="1:6" x14ac:dyDescent="0.25">
      <c r="B3" s="2" t="s">
        <v>245</v>
      </c>
      <c r="C3" s="78" t="s">
        <v>246</v>
      </c>
      <c r="E3" s="50"/>
    </row>
    <row r="4" spans="1:6" x14ac:dyDescent="0.25">
      <c r="B4" s="1" t="s">
        <v>247</v>
      </c>
      <c r="C4" s="77">
        <f>SUM(D25:D182)</f>
        <v>99498</v>
      </c>
      <c r="D4" s="1"/>
      <c r="E4" s="1"/>
    </row>
    <row r="6" spans="1:6" x14ac:dyDescent="0.25">
      <c r="B6" s="2" t="s">
        <v>245</v>
      </c>
      <c r="C6" s="78" t="s">
        <v>248</v>
      </c>
    </row>
    <row r="7" spans="1:6" x14ac:dyDescent="0.25">
      <c r="B7" s="1" t="s">
        <v>247</v>
      </c>
      <c r="C7" s="77">
        <f>SUM(E25:E182)</f>
        <v>211409</v>
      </c>
      <c r="D7" s="1"/>
    </row>
    <row r="9" spans="1:6" x14ac:dyDescent="0.25">
      <c r="B9" s="2" t="s">
        <v>245</v>
      </c>
      <c r="C9" s="78" t="s">
        <v>249</v>
      </c>
    </row>
    <row r="10" spans="1:6" x14ac:dyDescent="0.25">
      <c r="B10" s="1" t="s">
        <v>247</v>
      </c>
      <c r="C10" s="77">
        <f>SUM(F25:F182)</f>
        <v>127820</v>
      </c>
      <c r="D10" s="1"/>
    </row>
    <row r="12" spans="1:6" x14ac:dyDescent="0.25">
      <c r="A12" s="2">
        <v>2</v>
      </c>
      <c r="B12" s="79" t="s">
        <v>250</v>
      </c>
      <c r="C12" s="80"/>
      <c r="D12" s="80"/>
      <c r="E12" s="80"/>
    </row>
    <row r="13" spans="1:6" x14ac:dyDescent="0.25">
      <c r="C13" s="81">
        <f>SUM(D27:F27)</f>
        <v>5124</v>
      </c>
      <c r="D13" s="1"/>
      <c r="E13" s="1"/>
      <c r="F13" s="1"/>
    </row>
    <row r="15" spans="1:6" x14ac:dyDescent="0.25">
      <c r="A15" s="2">
        <v>3</v>
      </c>
      <c r="B15" s="79" t="s">
        <v>251</v>
      </c>
      <c r="C15" s="80"/>
      <c r="D15" s="80"/>
      <c r="E15" s="80"/>
      <c r="F15" s="80"/>
    </row>
    <row r="16" spans="1:6" x14ac:dyDescent="0.25">
      <c r="C16" s="81">
        <f>SUM(D25:F44)</f>
        <v>89884</v>
      </c>
      <c r="D16" s="1"/>
      <c r="E16" s="82"/>
      <c r="F16" s="1"/>
    </row>
    <row r="17" spans="1:6" x14ac:dyDescent="0.25">
      <c r="E17" s="82"/>
      <c r="F17" s="1"/>
    </row>
    <row r="18" spans="1:6" x14ac:dyDescent="0.25">
      <c r="A18" s="2">
        <v>4</v>
      </c>
      <c r="B18" s="79" t="s">
        <v>252</v>
      </c>
      <c r="C18" s="80"/>
      <c r="D18" s="80"/>
      <c r="E18" s="80"/>
      <c r="F18" s="80"/>
    </row>
    <row r="19" spans="1:6" x14ac:dyDescent="0.25">
      <c r="B19" s="1" t="s">
        <v>253</v>
      </c>
      <c r="C19" s="83">
        <f>SUM(D25:D182)</f>
        <v>99498</v>
      </c>
      <c r="D19" s="1"/>
      <c r="F19" s="2"/>
    </row>
    <row r="20" spans="1:6" x14ac:dyDescent="0.25">
      <c r="B20" s="1" t="s">
        <v>254</v>
      </c>
      <c r="C20" s="84">
        <f>SUM(F25:F182)</f>
        <v>127820</v>
      </c>
      <c r="D20" s="1"/>
      <c r="F20" s="1"/>
    </row>
    <row r="21" spans="1:6" x14ac:dyDescent="0.25">
      <c r="B21" s="1"/>
      <c r="F21" s="1"/>
    </row>
    <row r="22" spans="1:6" x14ac:dyDescent="0.25">
      <c r="F22" s="1"/>
    </row>
    <row r="23" spans="1:6" x14ac:dyDescent="0.25">
      <c r="D23" s="135" t="s">
        <v>245</v>
      </c>
      <c r="E23" s="136"/>
      <c r="F23" s="137"/>
    </row>
    <row r="24" spans="1:6" x14ac:dyDescent="0.25">
      <c r="B24" s="85" t="s">
        <v>255</v>
      </c>
      <c r="C24" s="86" t="s">
        <v>256</v>
      </c>
      <c r="D24" s="78" t="s">
        <v>246</v>
      </c>
      <c r="E24" s="78" t="s">
        <v>248</v>
      </c>
      <c r="F24" s="78" t="s">
        <v>249</v>
      </c>
    </row>
    <row r="25" spans="1:6" x14ac:dyDescent="0.25">
      <c r="B25" s="87" t="s">
        <v>257</v>
      </c>
      <c r="C25" s="87" t="s">
        <v>258</v>
      </c>
      <c r="D25" s="88">
        <v>3419</v>
      </c>
      <c r="E25" s="88">
        <v>4378</v>
      </c>
      <c r="F25" s="89">
        <v>2755</v>
      </c>
    </row>
    <row r="26" spans="1:6" x14ac:dyDescent="0.25">
      <c r="B26" s="87" t="s">
        <v>257</v>
      </c>
      <c r="C26" s="87" t="s">
        <v>259</v>
      </c>
      <c r="D26" s="88">
        <v>1492</v>
      </c>
      <c r="E26" s="88">
        <v>2126</v>
      </c>
      <c r="F26" s="89">
        <v>2103</v>
      </c>
    </row>
    <row r="27" spans="1:6" x14ac:dyDescent="0.25">
      <c r="B27" s="87" t="s">
        <v>257</v>
      </c>
      <c r="C27" s="87" t="s">
        <v>260</v>
      </c>
      <c r="D27" s="88">
        <v>1371</v>
      </c>
      <c r="E27" s="88">
        <v>1930</v>
      </c>
      <c r="F27" s="89">
        <v>1823</v>
      </c>
    </row>
    <row r="28" spans="1:6" x14ac:dyDescent="0.25">
      <c r="B28" s="87" t="s">
        <v>257</v>
      </c>
      <c r="C28" s="87" t="s">
        <v>261</v>
      </c>
      <c r="D28" s="88">
        <v>1607</v>
      </c>
      <c r="E28" s="88">
        <v>2133</v>
      </c>
      <c r="F28" s="89">
        <v>2102</v>
      </c>
    </row>
    <row r="29" spans="1:6" x14ac:dyDescent="0.25">
      <c r="B29" s="87" t="s">
        <v>257</v>
      </c>
      <c r="C29" s="87" t="s">
        <v>262</v>
      </c>
      <c r="D29" s="88">
        <v>951</v>
      </c>
      <c r="E29" s="88">
        <v>1445</v>
      </c>
      <c r="F29" s="89">
        <v>1416</v>
      </c>
    </row>
    <row r="30" spans="1:6" x14ac:dyDescent="0.25">
      <c r="B30" s="87" t="s">
        <v>257</v>
      </c>
      <c r="C30" s="87" t="s">
        <v>263</v>
      </c>
      <c r="D30" s="88">
        <v>889</v>
      </c>
      <c r="E30" s="88">
        <v>1293</v>
      </c>
      <c r="F30" s="89">
        <v>1526</v>
      </c>
    </row>
    <row r="31" spans="1:6" x14ac:dyDescent="0.25">
      <c r="B31" s="87" t="s">
        <v>257</v>
      </c>
      <c r="C31" s="87" t="s">
        <v>264</v>
      </c>
      <c r="D31" s="88">
        <v>1254</v>
      </c>
      <c r="E31" s="88">
        <v>1989</v>
      </c>
      <c r="F31" s="89">
        <v>1685</v>
      </c>
    </row>
    <row r="32" spans="1:6" x14ac:dyDescent="0.25">
      <c r="B32" s="87" t="s">
        <v>257</v>
      </c>
      <c r="C32" s="87" t="s">
        <v>265</v>
      </c>
      <c r="D32" s="88">
        <v>1025</v>
      </c>
      <c r="E32" s="88">
        <v>1362</v>
      </c>
      <c r="F32" s="89">
        <v>2077</v>
      </c>
    </row>
    <row r="33" spans="2:6" x14ac:dyDescent="0.25">
      <c r="B33" s="87" t="s">
        <v>257</v>
      </c>
      <c r="C33" s="87" t="s">
        <v>266</v>
      </c>
      <c r="D33" s="88">
        <v>1194</v>
      </c>
      <c r="E33" s="88">
        <v>2016</v>
      </c>
      <c r="F33" s="89">
        <v>1452</v>
      </c>
    </row>
    <row r="34" spans="2:6" x14ac:dyDescent="0.25">
      <c r="B34" s="87" t="s">
        <v>257</v>
      </c>
      <c r="C34" s="87" t="s">
        <v>267</v>
      </c>
      <c r="D34" s="88">
        <v>607</v>
      </c>
      <c r="E34" s="88">
        <v>853</v>
      </c>
      <c r="F34" s="89">
        <v>1022</v>
      </c>
    </row>
    <row r="35" spans="2:6" x14ac:dyDescent="0.25">
      <c r="B35" s="87" t="s">
        <v>257</v>
      </c>
      <c r="C35" s="87" t="s">
        <v>268</v>
      </c>
      <c r="D35" s="88">
        <v>626</v>
      </c>
      <c r="E35" s="88">
        <v>1569</v>
      </c>
      <c r="F35" s="89">
        <v>1033</v>
      </c>
    </row>
    <row r="36" spans="2:6" x14ac:dyDescent="0.25">
      <c r="B36" s="87" t="s">
        <v>257</v>
      </c>
      <c r="C36" s="87" t="s">
        <v>269</v>
      </c>
      <c r="D36" s="88">
        <v>1037</v>
      </c>
      <c r="E36" s="88">
        <v>2300</v>
      </c>
      <c r="F36" s="89">
        <v>1598</v>
      </c>
    </row>
    <row r="37" spans="2:6" x14ac:dyDescent="0.25">
      <c r="B37" s="87" t="s">
        <v>257</v>
      </c>
      <c r="C37" s="87" t="s">
        <v>270</v>
      </c>
      <c r="D37" s="88">
        <v>972</v>
      </c>
      <c r="E37" s="88">
        <v>2128</v>
      </c>
      <c r="F37" s="89">
        <v>912</v>
      </c>
    </row>
    <row r="38" spans="2:6" x14ac:dyDescent="0.25">
      <c r="B38" s="87" t="s">
        <v>257</v>
      </c>
      <c r="C38" s="87" t="s">
        <v>271</v>
      </c>
      <c r="D38" s="88">
        <v>88</v>
      </c>
      <c r="E38" s="88">
        <v>1159</v>
      </c>
      <c r="F38" s="89">
        <v>0</v>
      </c>
    </row>
    <row r="39" spans="2:6" x14ac:dyDescent="0.25">
      <c r="B39" s="87" t="s">
        <v>257</v>
      </c>
      <c r="C39" s="87" t="s">
        <v>272</v>
      </c>
      <c r="D39" s="88">
        <v>2052</v>
      </c>
      <c r="E39" s="88">
        <v>2159</v>
      </c>
      <c r="F39" s="89">
        <v>1582</v>
      </c>
    </row>
    <row r="40" spans="2:6" x14ac:dyDescent="0.25">
      <c r="B40" s="87" t="s">
        <v>257</v>
      </c>
      <c r="C40" s="87" t="s">
        <v>273</v>
      </c>
      <c r="D40" s="88">
        <v>1582</v>
      </c>
      <c r="E40" s="88">
        <v>2308</v>
      </c>
      <c r="F40" s="89">
        <v>1699</v>
      </c>
    </row>
    <row r="41" spans="2:6" x14ac:dyDescent="0.25">
      <c r="B41" s="87" t="s">
        <v>257</v>
      </c>
      <c r="C41" s="87" t="s">
        <v>274</v>
      </c>
      <c r="D41" s="88">
        <v>1088</v>
      </c>
      <c r="E41" s="88">
        <v>1218</v>
      </c>
      <c r="F41" s="89">
        <v>981</v>
      </c>
    </row>
    <row r="42" spans="2:6" x14ac:dyDescent="0.25">
      <c r="B42" s="87" t="s">
        <v>257</v>
      </c>
      <c r="C42" s="87" t="s">
        <v>275</v>
      </c>
      <c r="D42" s="88">
        <v>706</v>
      </c>
      <c r="E42" s="88">
        <v>1151</v>
      </c>
      <c r="F42" s="89">
        <v>1145</v>
      </c>
    </row>
    <row r="43" spans="2:6" x14ac:dyDescent="0.25">
      <c r="B43" s="87" t="s">
        <v>257</v>
      </c>
      <c r="C43" s="87" t="s">
        <v>276</v>
      </c>
      <c r="D43" s="88">
        <v>1335</v>
      </c>
      <c r="E43" s="88">
        <v>2098</v>
      </c>
      <c r="F43" s="89">
        <v>1322</v>
      </c>
    </row>
    <row r="44" spans="2:6" x14ac:dyDescent="0.25">
      <c r="B44" s="87" t="s">
        <v>257</v>
      </c>
      <c r="C44" s="87" t="s">
        <v>277</v>
      </c>
      <c r="D44" s="88">
        <v>702</v>
      </c>
      <c r="E44" s="88">
        <v>1162</v>
      </c>
      <c r="F44" s="89">
        <v>877</v>
      </c>
    </row>
    <row r="45" spans="2:6" x14ac:dyDescent="0.25">
      <c r="B45" s="87" t="s">
        <v>257</v>
      </c>
      <c r="C45" s="87" t="s">
        <v>278</v>
      </c>
      <c r="D45" s="88">
        <v>968</v>
      </c>
      <c r="E45" s="88">
        <v>1101</v>
      </c>
      <c r="F45" s="89">
        <v>797</v>
      </c>
    </row>
    <row r="46" spans="2:6" x14ac:dyDescent="0.25">
      <c r="B46" s="87" t="s">
        <v>257</v>
      </c>
      <c r="C46" s="87" t="s">
        <v>279</v>
      </c>
      <c r="D46" s="88">
        <v>1664</v>
      </c>
      <c r="E46" s="88">
        <v>2069</v>
      </c>
      <c r="F46" s="89">
        <v>1710</v>
      </c>
    </row>
    <row r="47" spans="2:6" x14ac:dyDescent="0.25">
      <c r="B47" s="87" t="s">
        <v>257</v>
      </c>
      <c r="C47" s="87" t="s">
        <v>280</v>
      </c>
      <c r="D47" s="88">
        <v>624</v>
      </c>
      <c r="E47" s="88">
        <v>770</v>
      </c>
      <c r="F47" s="89">
        <v>746</v>
      </c>
    </row>
    <row r="48" spans="2:6" x14ac:dyDescent="0.25">
      <c r="B48" s="87" t="s">
        <v>257</v>
      </c>
      <c r="C48" s="87" t="s">
        <v>281</v>
      </c>
      <c r="D48" s="88">
        <v>685</v>
      </c>
      <c r="E48" s="88">
        <v>1501</v>
      </c>
      <c r="F48" s="89">
        <v>1126</v>
      </c>
    </row>
    <row r="49" spans="2:6" x14ac:dyDescent="0.25">
      <c r="B49" s="87" t="s">
        <v>257</v>
      </c>
      <c r="C49" s="87" t="s">
        <v>282</v>
      </c>
      <c r="D49" s="88">
        <v>1248</v>
      </c>
      <c r="E49" s="88">
        <v>1763</v>
      </c>
      <c r="F49" s="89">
        <v>1146</v>
      </c>
    </row>
    <row r="50" spans="2:6" x14ac:dyDescent="0.25">
      <c r="B50" s="87" t="s">
        <v>257</v>
      </c>
      <c r="C50" s="87" t="s">
        <v>283</v>
      </c>
      <c r="D50" s="88">
        <v>1342</v>
      </c>
      <c r="E50" s="88">
        <v>1559</v>
      </c>
      <c r="F50" s="89">
        <v>1307</v>
      </c>
    </row>
    <row r="51" spans="2:6" x14ac:dyDescent="0.25">
      <c r="B51" s="87" t="s">
        <v>257</v>
      </c>
      <c r="C51" s="87" t="s">
        <v>284</v>
      </c>
      <c r="D51" s="88">
        <v>760</v>
      </c>
      <c r="E51" s="88">
        <v>965</v>
      </c>
      <c r="F51" s="89">
        <v>921</v>
      </c>
    </row>
    <row r="52" spans="2:6" x14ac:dyDescent="0.25">
      <c r="B52" s="87" t="s">
        <v>257</v>
      </c>
      <c r="C52" s="87" t="s">
        <v>285</v>
      </c>
      <c r="D52" s="88">
        <v>1187</v>
      </c>
      <c r="E52" s="88">
        <v>1568</v>
      </c>
      <c r="F52" s="89">
        <v>1190</v>
      </c>
    </row>
    <row r="53" spans="2:6" x14ac:dyDescent="0.25">
      <c r="B53" s="87" t="s">
        <v>257</v>
      </c>
      <c r="C53" s="87" t="s">
        <v>286</v>
      </c>
      <c r="D53" s="88">
        <v>0</v>
      </c>
      <c r="E53" s="88">
        <v>0</v>
      </c>
      <c r="F53" s="89">
        <v>277</v>
      </c>
    </row>
    <row r="54" spans="2:6" x14ac:dyDescent="0.25">
      <c r="B54" s="87" t="s">
        <v>257</v>
      </c>
      <c r="C54" s="87" t="s">
        <v>287</v>
      </c>
      <c r="D54" s="88">
        <v>368</v>
      </c>
      <c r="E54" s="88">
        <v>1386</v>
      </c>
      <c r="F54" s="89">
        <v>637</v>
      </c>
    </row>
    <row r="55" spans="2:6" x14ac:dyDescent="0.25">
      <c r="B55" s="87" t="s">
        <v>257</v>
      </c>
      <c r="C55" s="87" t="s">
        <v>288</v>
      </c>
      <c r="D55" s="88">
        <v>317</v>
      </c>
      <c r="E55" s="88">
        <v>1215</v>
      </c>
      <c r="F55" s="89">
        <v>478</v>
      </c>
    </row>
    <row r="56" spans="2:6" x14ac:dyDescent="0.25">
      <c r="B56" s="87" t="s">
        <v>257</v>
      </c>
      <c r="C56" s="87" t="s">
        <v>289</v>
      </c>
      <c r="D56" s="88">
        <v>689</v>
      </c>
      <c r="E56" s="88">
        <v>2544</v>
      </c>
      <c r="F56" s="89">
        <v>1009</v>
      </c>
    </row>
    <row r="57" spans="2:6" x14ac:dyDescent="0.25">
      <c r="B57" s="87" t="s">
        <v>257</v>
      </c>
      <c r="C57" s="87" t="s">
        <v>290</v>
      </c>
      <c r="D57" s="88">
        <v>510</v>
      </c>
      <c r="E57" s="88">
        <v>2583</v>
      </c>
      <c r="F57" s="89">
        <v>861</v>
      </c>
    </row>
    <row r="58" spans="2:6" x14ac:dyDescent="0.25">
      <c r="B58" s="87" t="s">
        <v>257</v>
      </c>
      <c r="C58" s="87" t="s">
        <v>291</v>
      </c>
      <c r="D58" s="88">
        <v>257</v>
      </c>
      <c r="E58" s="88">
        <v>1023</v>
      </c>
      <c r="F58" s="89">
        <v>446</v>
      </c>
    </row>
    <row r="59" spans="2:6" x14ac:dyDescent="0.25">
      <c r="B59" s="87" t="s">
        <v>257</v>
      </c>
      <c r="C59" s="87" t="s">
        <v>292</v>
      </c>
      <c r="D59" s="88">
        <v>335</v>
      </c>
      <c r="E59" s="88">
        <v>1225</v>
      </c>
      <c r="F59" s="89">
        <v>520</v>
      </c>
    </row>
    <row r="60" spans="2:6" x14ac:dyDescent="0.25">
      <c r="B60" s="87" t="s">
        <v>257</v>
      </c>
      <c r="C60" s="87" t="s">
        <v>293</v>
      </c>
      <c r="D60" s="88">
        <v>264</v>
      </c>
      <c r="E60" s="88">
        <v>957</v>
      </c>
      <c r="F60" s="89">
        <v>405</v>
      </c>
    </row>
    <row r="61" spans="2:6" x14ac:dyDescent="0.25">
      <c r="B61" s="87" t="s">
        <v>257</v>
      </c>
      <c r="C61" s="87" t="s">
        <v>294</v>
      </c>
      <c r="D61" s="88">
        <v>285</v>
      </c>
      <c r="E61" s="88">
        <v>869</v>
      </c>
      <c r="F61" s="89">
        <v>434</v>
      </c>
    </row>
    <row r="62" spans="2:6" x14ac:dyDescent="0.25">
      <c r="B62" s="87" t="s">
        <v>257</v>
      </c>
      <c r="C62" s="87" t="s">
        <v>295</v>
      </c>
      <c r="D62" s="88">
        <v>550</v>
      </c>
      <c r="E62" s="88">
        <v>2502</v>
      </c>
      <c r="F62" s="89">
        <v>822</v>
      </c>
    </row>
    <row r="63" spans="2:6" x14ac:dyDescent="0.25">
      <c r="B63" s="87" t="s">
        <v>257</v>
      </c>
      <c r="C63" s="87" t="s">
        <v>296</v>
      </c>
      <c r="D63" s="88">
        <v>266</v>
      </c>
      <c r="E63" s="88">
        <v>1382</v>
      </c>
      <c r="F63" s="89">
        <v>501</v>
      </c>
    </row>
    <row r="64" spans="2:6" x14ac:dyDescent="0.25">
      <c r="B64" s="87" t="s">
        <v>257</v>
      </c>
      <c r="C64" s="87" t="s">
        <v>297</v>
      </c>
      <c r="D64" s="88">
        <v>598</v>
      </c>
      <c r="E64" s="88">
        <v>2107</v>
      </c>
      <c r="F64" s="89">
        <v>1002</v>
      </c>
    </row>
    <row r="65" spans="2:6" x14ac:dyDescent="0.25">
      <c r="B65" s="87" t="s">
        <v>257</v>
      </c>
      <c r="C65" s="87" t="s">
        <v>298</v>
      </c>
      <c r="D65" s="88">
        <v>344</v>
      </c>
      <c r="E65" s="88">
        <v>1641</v>
      </c>
      <c r="F65" s="89">
        <v>765</v>
      </c>
    </row>
    <row r="66" spans="2:6" x14ac:dyDescent="0.25">
      <c r="B66" s="87" t="s">
        <v>257</v>
      </c>
      <c r="C66" s="87" t="s">
        <v>299</v>
      </c>
      <c r="D66" s="88">
        <v>183</v>
      </c>
      <c r="E66" s="88">
        <v>867</v>
      </c>
      <c r="F66" s="89">
        <v>384</v>
      </c>
    </row>
    <row r="67" spans="2:6" x14ac:dyDescent="0.25">
      <c r="B67" s="87" t="s">
        <v>257</v>
      </c>
      <c r="C67" s="87" t="s">
        <v>300</v>
      </c>
      <c r="D67" s="88">
        <v>302</v>
      </c>
      <c r="E67" s="88">
        <v>1326</v>
      </c>
      <c r="F67" s="89">
        <v>586</v>
      </c>
    </row>
    <row r="68" spans="2:6" x14ac:dyDescent="0.25">
      <c r="B68" s="87" t="s">
        <v>257</v>
      </c>
      <c r="C68" s="87" t="s">
        <v>301</v>
      </c>
      <c r="D68" s="88">
        <v>177</v>
      </c>
      <c r="E68" s="88">
        <v>823</v>
      </c>
      <c r="F68" s="89">
        <v>548</v>
      </c>
    </row>
    <row r="69" spans="2:6" x14ac:dyDescent="0.25">
      <c r="B69" s="87" t="s">
        <v>257</v>
      </c>
      <c r="C69" s="87" t="s">
        <v>302</v>
      </c>
      <c r="D69" s="88">
        <v>285</v>
      </c>
      <c r="E69" s="88">
        <v>1249</v>
      </c>
      <c r="F69" s="89">
        <v>533</v>
      </c>
    </row>
    <row r="70" spans="2:6" x14ac:dyDescent="0.25">
      <c r="B70" s="87" t="s">
        <v>257</v>
      </c>
      <c r="C70" s="87" t="s">
        <v>303</v>
      </c>
      <c r="D70" s="88">
        <v>236</v>
      </c>
      <c r="E70" s="88">
        <v>1162</v>
      </c>
      <c r="F70" s="89">
        <v>402</v>
      </c>
    </row>
    <row r="71" spans="2:6" x14ac:dyDescent="0.25">
      <c r="B71" s="87" t="s">
        <v>257</v>
      </c>
      <c r="C71" s="87" t="s">
        <v>304</v>
      </c>
      <c r="D71" s="88">
        <v>293</v>
      </c>
      <c r="E71" s="88">
        <v>1016</v>
      </c>
      <c r="F71" s="89">
        <v>585</v>
      </c>
    </row>
    <row r="72" spans="2:6" x14ac:dyDescent="0.25">
      <c r="B72" s="87" t="s">
        <v>257</v>
      </c>
      <c r="C72" s="87" t="s">
        <v>305</v>
      </c>
      <c r="D72" s="88">
        <v>242</v>
      </c>
      <c r="E72" s="88">
        <v>1363</v>
      </c>
      <c r="F72" s="89">
        <v>428</v>
      </c>
    </row>
    <row r="73" spans="2:6" x14ac:dyDescent="0.25">
      <c r="B73" s="87" t="s">
        <v>257</v>
      </c>
      <c r="C73" s="87" t="s">
        <v>306</v>
      </c>
      <c r="D73" s="88">
        <v>248</v>
      </c>
      <c r="E73" s="88">
        <v>1398</v>
      </c>
      <c r="F73" s="89">
        <v>476</v>
      </c>
    </row>
    <row r="74" spans="2:6" x14ac:dyDescent="0.25">
      <c r="B74" s="87" t="s">
        <v>257</v>
      </c>
      <c r="C74" s="87" t="s">
        <v>307</v>
      </c>
      <c r="D74" s="88">
        <v>292</v>
      </c>
      <c r="E74" s="88">
        <v>1380</v>
      </c>
      <c r="F74" s="89">
        <v>456</v>
      </c>
    </row>
    <row r="75" spans="2:6" x14ac:dyDescent="0.25">
      <c r="B75" s="87" t="s">
        <v>257</v>
      </c>
      <c r="C75" s="87" t="s">
        <v>308</v>
      </c>
      <c r="D75" s="88">
        <v>196</v>
      </c>
      <c r="E75" s="88">
        <v>1238</v>
      </c>
      <c r="F75" s="89">
        <v>493</v>
      </c>
    </row>
    <row r="76" spans="2:6" x14ac:dyDescent="0.25">
      <c r="B76" s="87" t="s">
        <v>257</v>
      </c>
      <c r="C76" s="87" t="s">
        <v>309</v>
      </c>
      <c r="D76" s="88">
        <v>432</v>
      </c>
      <c r="E76" s="88">
        <v>1216</v>
      </c>
      <c r="F76" s="89">
        <v>552</v>
      </c>
    </row>
    <row r="77" spans="2:6" x14ac:dyDescent="0.25">
      <c r="B77" s="87" t="s">
        <v>257</v>
      </c>
      <c r="C77" s="87" t="s">
        <v>310</v>
      </c>
      <c r="D77" s="88">
        <v>420</v>
      </c>
      <c r="E77" s="88">
        <v>1581</v>
      </c>
      <c r="F77" s="89">
        <v>525</v>
      </c>
    </row>
    <row r="78" spans="2:6" x14ac:dyDescent="0.25">
      <c r="B78" s="87" t="s">
        <v>257</v>
      </c>
      <c r="C78" s="87" t="s">
        <v>311</v>
      </c>
      <c r="D78" s="88">
        <v>398</v>
      </c>
      <c r="E78" s="88">
        <v>1759</v>
      </c>
      <c r="F78" s="89">
        <v>682</v>
      </c>
    </row>
    <row r="79" spans="2:6" x14ac:dyDescent="0.25">
      <c r="B79" s="87" t="s">
        <v>257</v>
      </c>
      <c r="C79" s="87" t="s">
        <v>312</v>
      </c>
      <c r="D79" s="88">
        <v>128</v>
      </c>
      <c r="E79" s="88">
        <v>791</v>
      </c>
      <c r="F79" s="89">
        <v>242</v>
      </c>
    </row>
    <row r="80" spans="2:6" x14ac:dyDescent="0.25">
      <c r="B80" s="87" t="s">
        <v>257</v>
      </c>
      <c r="C80" s="87" t="s">
        <v>313</v>
      </c>
      <c r="D80" s="88">
        <v>225</v>
      </c>
      <c r="E80" s="88">
        <v>935</v>
      </c>
      <c r="F80" s="89">
        <v>432</v>
      </c>
    </row>
    <row r="81" spans="2:6" x14ac:dyDescent="0.25">
      <c r="B81" s="87" t="s">
        <v>257</v>
      </c>
      <c r="C81" s="87" t="s">
        <v>314</v>
      </c>
      <c r="D81" s="88">
        <v>1358</v>
      </c>
      <c r="E81" s="88">
        <v>2231</v>
      </c>
      <c r="F81" s="89">
        <v>1391</v>
      </c>
    </row>
    <row r="82" spans="2:6" x14ac:dyDescent="0.25">
      <c r="B82" s="87" t="s">
        <v>257</v>
      </c>
      <c r="C82" s="87" t="s">
        <v>315</v>
      </c>
      <c r="D82" s="88">
        <v>1345</v>
      </c>
      <c r="E82" s="88">
        <v>1791</v>
      </c>
      <c r="F82" s="89">
        <v>1460</v>
      </c>
    </row>
    <row r="83" spans="2:6" x14ac:dyDescent="0.25">
      <c r="B83" s="87" t="s">
        <v>257</v>
      </c>
      <c r="C83" s="87" t="s">
        <v>316</v>
      </c>
      <c r="D83" s="88">
        <v>769</v>
      </c>
      <c r="E83" s="88">
        <v>1948</v>
      </c>
      <c r="F83" s="89">
        <v>1011</v>
      </c>
    </row>
    <row r="84" spans="2:6" x14ac:dyDescent="0.25">
      <c r="B84" s="87" t="s">
        <v>257</v>
      </c>
      <c r="C84" s="87" t="s">
        <v>317</v>
      </c>
      <c r="D84" s="88">
        <v>560</v>
      </c>
      <c r="E84" s="88">
        <v>1835</v>
      </c>
      <c r="F84" s="89">
        <v>642</v>
      </c>
    </row>
    <row r="85" spans="2:6" x14ac:dyDescent="0.25">
      <c r="B85" s="87" t="s">
        <v>257</v>
      </c>
      <c r="C85" s="87" t="s">
        <v>318</v>
      </c>
      <c r="D85" s="88">
        <v>836</v>
      </c>
      <c r="E85" s="88">
        <v>2245</v>
      </c>
      <c r="F85" s="89">
        <v>861</v>
      </c>
    </row>
    <row r="86" spans="2:6" x14ac:dyDescent="0.25">
      <c r="B86" s="87" t="s">
        <v>257</v>
      </c>
      <c r="C86" s="87" t="s">
        <v>319</v>
      </c>
      <c r="D86" s="88">
        <v>587</v>
      </c>
      <c r="E86" s="88">
        <v>1471</v>
      </c>
      <c r="F86" s="89">
        <v>623</v>
      </c>
    </row>
    <row r="87" spans="2:6" x14ac:dyDescent="0.25">
      <c r="B87" s="87" t="s">
        <v>257</v>
      </c>
      <c r="C87" s="87" t="s">
        <v>320</v>
      </c>
      <c r="D87" s="88">
        <v>774</v>
      </c>
      <c r="E87" s="88">
        <v>1403</v>
      </c>
      <c r="F87" s="89">
        <v>1085</v>
      </c>
    </row>
    <row r="88" spans="2:6" x14ac:dyDescent="0.25">
      <c r="B88" s="87" t="s">
        <v>257</v>
      </c>
      <c r="C88" s="87" t="s">
        <v>321</v>
      </c>
      <c r="D88" s="88">
        <v>757</v>
      </c>
      <c r="E88" s="88">
        <v>1203</v>
      </c>
      <c r="F88" s="89">
        <v>1175</v>
      </c>
    </row>
    <row r="89" spans="2:6" x14ac:dyDescent="0.25">
      <c r="B89" s="87" t="s">
        <v>257</v>
      </c>
      <c r="C89" s="87" t="s">
        <v>322</v>
      </c>
      <c r="D89" s="88">
        <v>591</v>
      </c>
      <c r="E89" s="88">
        <v>1439</v>
      </c>
      <c r="F89" s="89">
        <v>858</v>
      </c>
    </row>
    <row r="90" spans="2:6" x14ac:dyDescent="0.25">
      <c r="B90" s="87" t="s">
        <v>257</v>
      </c>
      <c r="C90" s="87" t="s">
        <v>323</v>
      </c>
      <c r="D90" s="88">
        <v>457</v>
      </c>
      <c r="E90" s="88">
        <v>1161</v>
      </c>
      <c r="F90" s="89">
        <v>594</v>
      </c>
    </row>
    <row r="91" spans="2:6" x14ac:dyDescent="0.25">
      <c r="B91" s="87" t="s">
        <v>257</v>
      </c>
      <c r="C91" s="87" t="s">
        <v>324</v>
      </c>
      <c r="D91" s="88">
        <v>494</v>
      </c>
      <c r="E91" s="88">
        <v>1585</v>
      </c>
      <c r="F91" s="89">
        <v>705</v>
      </c>
    </row>
    <row r="92" spans="2:6" x14ac:dyDescent="0.25">
      <c r="B92" s="87" t="s">
        <v>257</v>
      </c>
      <c r="C92" s="87" t="s">
        <v>325</v>
      </c>
      <c r="D92" s="88">
        <v>914</v>
      </c>
      <c r="E92" s="88">
        <v>1727</v>
      </c>
      <c r="F92" s="89">
        <v>1308</v>
      </c>
    </row>
    <row r="93" spans="2:6" x14ac:dyDescent="0.25">
      <c r="B93" s="87" t="s">
        <v>257</v>
      </c>
      <c r="C93" s="87" t="s">
        <v>326</v>
      </c>
      <c r="D93" s="88">
        <v>581</v>
      </c>
      <c r="E93" s="88">
        <v>1448</v>
      </c>
      <c r="F93" s="89">
        <v>885</v>
      </c>
    </row>
    <row r="94" spans="2:6" x14ac:dyDescent="0.25">
      <c r="B94" s="87" t="s">
        <v>257</v>
      </c>
      <c r="C94" s="87" t="s">
        <v>327</v>
      </c>
      <c r="D94" s="88">
        <v>31</v>
      </c>
      <c r="E94" s="88">
        <v>0</v>
      </c>
      <c r="F94" s="89">
        <v>78</v>
      </c>
    </row>
    <row r="95" spans="2:6" x14ac:dyDescent="0.25">
      <c r="B95" s="87" t="s">
        <v>257</v>
      </c>
      <c r="C95" s="87" t="s">
        <v>328</v>
      </c>
      <c r="D95" s="88">
        <v>92</v>
      </c>
      <c r="E95" s="88">
        <v>233</v>
      </c>
      <c r="F95" s="89">
        <v>494</v>
      </c>
    </row>
    <row r="96" spans="2:6" x14ac:dyDescent="0.25">
      <c r="B96" s="87" t="s">
        <v>257</v>
      </c>
      <c r="C96" s="87" t="s">
        <v>329</v>
      </c>
      <c r="D96" s="88">
        <v>486</v>
      </c>
      <c r="E96" s="88">
        <v>1176</v>
      </c>
      <c r="F96" s="89">
        <v>400</v>
      </c>
    </row>
    <row r="97" spans="2:6" x14ac:dyDescent="0.25">
      <c r="B97" s="87" t="s">
        <v>257</v>
      </c>
      <c r="C97" s="87" t="s">
        <v>330</v>
      </c>
      <c r="D97" s="88">
        <v>440</v>
      </c>
      <c r="E97" s="88">
        <v>874</v>
      </c>
      <c r="F97" s="89">
        <v>803</v>
      </c>
    </row>
    <row r="98" spans="2:6" x14ac:dyDescent="0.25">
      <c r="B98" s="87" t="s">
        <v>257</v>
      </c>
      <c r="C98" s="87" t="s">
        <v>331</v>
      </c>
      <c r="D98" s="88">
        <v>127</v>
      </c>
      <c r="E98" s="88">
        <v>695</v>
      </c>
      <c r="F98" s="89">
        <v>440</v>
      </c>
    </row>
    <row r="99" spans="2:6" x14ac:dyDescent="0.25">
      <c r="B99" s="87" t="s">
        <v>257</v>
      </c>
      <c r="C99" s="87" t="s">
        <v>332</v>
      </c>
      <c r="D99" s="88">
        <v>257</v>
      </c>
      <c r="E99" s="88">
        <v>1367</v>
      </c>
      <c r="F99" s="89">
        <v>544</v>
      </c>
    </row>
    <row r="100" spans="2:6" x14ac:dyDescent="0.25">
      <c r="B100" s="87" t="s">
        <v>257</v>
      </c>
      <c r="C100" s="87" t="s">
        <v>333</v>
      </c>
      <c r="D100" s="88">
        <v>399</v>
      </c>
      <c r="E100" s="88">
        <v>1238</v>
      </c>
      <c r="F100" s="89">
        <v>622</v>
      </c>
    </row>
    <row r="101" spans="2:6" x14ac:dyDescent="0.25">
      <c r="B101" s="87" t="s">
        <v>257</v>
      </c>
      <c r="C101" s="87" t="s">
        <v>334</v>
      </c>
      <c r="D101" s="88">
        <v>470</v>
      </c>
      <c r="E101" s="88">
        <v>1609</v>
      </c>
      <c r="F101" s="89">
        <v>662</v>
      </c>
    </row>
    <row r="102" spans="2:6" x14ac:dyDescent="0.25">
      <c r="B102" s="87" t="s">
        <v>257</v>
      </c>
      <c r="C102" s="87" t="s">
        <v>335</v>
      </c>
      <c r="D102" s="88">
        <v>651</v>
      </c>
      <c r="E102" s="88">
        <v>2120</v>
      </c>
      <c r="F102" s="89">
        <v>824</v>
      </c>
    </row>
    <row r="103" spans="2:6" x14ac:dyDescent="0.25">
      <c r="B103" s="87" t="s">
        <v>257</v>
      </c>
      <c r="C103" s="87" t="s">
        <v>336</v>
      </c>
      <c r="D103" s="88">
        <v>757</v>
      </c>
      <c r="E103" s="88">
        <v>2498</v>
      </c>
      <c r="F103" s="89">
        <v>846</v>
      </c>
    </row>
    <row r="104" spans="2:6" x14ac:dyDescent="0.25">
      <c r="B104" s="87" t="s">
        <v>257</v>
      </c>
      <c r="C104" s="87" t="s">
        <v>337</v>
      </c>
      <c r="D104" s="88">
        <v>526</v>
      </c>
      <c r="E104" s="88">
        <v>1902</v>
      </c>
      <c r="F104" s="89">
        <v>743</v>
      </c>
    </row>
    <row r="105" spans="2:6" x14ac:dyDescent="0.25">
      <c r="B105" s="87" t="s">
        <v>257</v>
      </c>
      <c r="C105" s="87" t="s">
        <v>338</v>
      </c>
      <c r="D105" s="88">
        <v>196</v>
      </c>
      <c r="E105" s="88">
        <v>994</v>
      </c>
      <c r="F105" s="89">
        <v>477</v>
      </c>
    </row>
    <row r="106" spans="2:6" x14ac:dyDescent="0.25">
      <c r="B106" s="87" t="s">
        <v>257</v>
      </c>
      <c r="C106" s="87" t="s">
        <v>339</v>
      </c>
      <c r="D106" s="88">
        <v>260</v>
      </c>
      <c r="E106" s="88">
        <v>1010</v>
      </c>
      <c r="F106" s="89">
        <v>575</v>
      </c>
    </row>
    <row r="107" spans="2:6" x14ac:dyDescent="0.25">
      <c r="B107" s="87" t="s">
        <v>257</v>
      </c>
      <c r="C107" s="87" t="s">
        <v>340</v>
      </c>
      <c r="D107" s="88">
        <v>192</v>
      </c>
      <c r="E107" s="88">
        <v>899</v>
      </c>
      <c r="F107" s="89">
        <v>369</v>
      </c>
    </row>
    <row r="108" spans="2:6" x14ac:dyDescent="0.25">
      <c r="B108" s="87" t="s">
        <v>257</v>
      </c>
      <c r="C108" s="87" t="s">
        <v>341</v>
      </c>
      <c r="D108" s="88">
        <v>177</v>
      </c>
      <c r="E108" s="88">
        <v>284</v>
      </c>
      <c r="F108" s="89">
        <v>174</v>
      </c>
    </row>
    <row r="109" spans="2:6" x14ac:dyDescent="0.25">
      <c r="B109" s="87" t="s">
        <v>257</v>
      </c>
      <c r="C109" s="87" t="s">
        <v>342</v>
      </c>
      <c r="D109" s="88">
        <v>741</v>
      </c>
      <c r="E109" s="88">
        <v>1781</v>
      </c>
      <c r="F109" s="89">
        <v>1028</v>
      </c>
    </row>
    <row r="110" spans="2:6" x14ac:dyDescent="0.25">
      <c r="B110" s="87" t="s">
        <v>257</v>
      </c>
      <c r="C110" s="87" t="s">
        <v>343</v>
      </c>
      <c r="D110" s="88">
        <v>174</v>
      </c>
      <c r="E110" s="88">
        <v>773</v>
      </c>
      <c r="F110" s="89">
        <v>237</v>
      </c>
    </row>
    <row r="111" spans="2:6" x14ac:dyDescent="0.25">
      <c r="B111" s="87" t="s">
        <v>257</v>
      </c>
      <c r="C111" s="87" t="s">
        <v>344</v>
      </c>
      <c r="D111" s="88">
        <v>94</v>
      </c>
      <c r="E111" s="88">
        <v>769</v>
      </c>
      <c r="F111" s="89">
        <v>228</v>
      </c>
    </row>
    <row r="112" spans="2:6" x14ac:dyDescent="0.25">
      <c r="B112" s="87" t="s">
        <v>257</v>
      </c>
      <c r="C112" s="87" t="s">
        <v>345</v>
      </c>
      <c r="D112" s="88">
        <v>197</v>
      </c>
      <c r="E112" s="88">
        <v>837</v>
      </c>
      <c r="F112" s="89">
        <v>434</v>
      </c>
    </row>
    <row r="113" spans="2:6" x14ac:dyDescent="0.25">
      <c r="B113" s="87" t="s">
        <v>257</v>
      </c>
      <c r="C113" s="87" t="s">
        <v>346</v>
      </c>
      <c r="D113" s="88">
        <v>318</v>
      </c>
      <c r="E113" s="88">
        <v>1120</v>
      </c>
      <c r="F113" s="89">
        <v>444</v>
      </c>
    </row>
    <row r="114" spans="2:6" x14ac:dyDescent="0.25">
      <c r="B114" s="87" t="s">
        <v>257</v>
      </c>
      <c r="C114" s="87" t="s">
        <v>347</v>
      </c>
      <c r="D114" s="88">
        <v>82</v>
      </c>
      <c r="E114" s="88">
        <v>723</v>
      </c>
      <c r="F114" s="89">
        <v>204</v>
      </c>
    </row>
    <row r="115" spans="2:6" x14ac:dyDescent="0.25">
      <c r="B115" s="87" t="s">
        <v>257</v>
      </c>
      <c r="C115" s="87" t="s">
        <v>348</v>
      </c>
      <c r="D115" s="88">
        <v>206</v>
      </c>
      <c r="E115" s="88">
        <v>550</v>
      </c>
      <c r="F115" s="89">
        <v>229</v>
      </c>
    </row>
    <row r="116" spans="2:6" x14ac:dyDescent="0.25">
      <c r="B116" s="87" t="s">
        <v>257</v>
      </c>
      <c r="C116" s="87" t="s">
        <v>349</v>
      </c>
      <c r="D116" s="88">
        <v>390</v>
      </c>
      <c r="E116" s="88">
        <v>1297</v>
      </c>
      <c r="F116" s="89">
        <v>456</v>
      </c>
    </row>
    <row r="117" spans="2:6" x14ac:dyDescent="0.25">
      <c r="B117" s="87" t="s">
        <v>257</v>
      </c>
      <c r="C117" s="87" t="s">
        <v>350</v>
      </c>
      <c r="D117" s="88">
        <v>111</v>
      </c>
      <c r="E117" s="88">
        <v>1160</v>
      </c>
      <c r="F117" s="89">
        <v>282</v>
      </c>
    </row>
    <row r="118" spans="2:6" x14ac:dyDescent="0.25">
      <c r="B118" s="87" t="s">
        <v>257</v>
      </c>
      <c r="C118" s="87" t="s">
        <v>351</v>
      </c>
      <c r="D118" s="88">
        <v>522</v>
      </c>
      <c r="E118" s="88">
        <v>1667</v>
      </c>
      <c r="F118" s="89">
        <v>556</v>
      </c>
    </row>
    <row r="119" spans="2:6" x14ac:dyDescent="0.25">
      <c r="B119" s="87" t="s">
        <v>257</v>
      </c>
      <c r="C119" s="87" t="s">
        <v>352</v>
      </c>
      <c r="D119" s="88">
        <v>278</v>
      </c>
      <c r="E119" s="88">
        <v>1091</v>
      </c>
      <c r="F119" s="89">
        <v>505</v>
      </c>
    </row>
    <row r="120" spans="2:6" x14ac:dyDescent="0.25">
      <c r="B120" s="87" t="s">
        <v>257</v>
      </c>
      <c r="C120" s="87" t="s">
        <v>353</v>
      </c>
      <c r="D120" s="88">
        <v>0</v>
      </c>
      <c r="E120" s="88">
        <v>0</v>
      </c>
      <c r="F120" s="89">
        <v>0</v>
      </c>
    </row>
    <row r="121" spans="2:6" x14ac:dyDescent="0.25">
      <c r="B121" s="87" t="s">
        <v>257</v>
      </c>
      <c r="C121" s="87" t="s">
        <v>354</v>
      </c>
      <c r="D121" s="88">
        <v>120</v>
      </c>
      <c r="E121" s="88">
        <v>1335</v>
      </c>
      <c r="F121" s="89">
        <v>289</v>
      </c>
    </row>
    <row r="122" spans="2:6" x14ac:dyDescent="0.25">
      <c r="B122" s="87" t="s">
        <v>257</v>
      </c>
      <c r="C122" s="87" t="s">
        <v>355</v>
      </c>
      <c r="D122" s="88">
        <v>316</v>
      </c>
      <c r="E122" s="88">
        <v>1028</v>
      </c>
      <c r="F122" s="89">
        <v>505</v>
      </c>
    </row>
    <row r="123" spans="2:6" x14ac:dyDescent="0.25">
      <c r="B123" s="87" t="s">
        <v>257</v>
      </c>
      <c r="C123" s="87" t="s">
        <v>356</v>
      </c>
      <c r="D123" s="88">
        <v>446</v>
      </c>
      <c r="E123" s="88">
        <v>1763</v>
      </c>
      <c r="F123" s="89">
        <v>527</v>
      </c>
    </row>
    <row r="124" spans="2:6" x14ac:dyDescent="0.25">
      <c r="B124" s="87" t="s">
        <v>257</v>
      </c>
      <c r="C124" s="87" t="s">
        <v>357</v>
      </c>
      <c r="D124" s="88">
        <v>0</v>
      </c>
      <c r="E124" s="88">
        <v>0</v>
      </c>
      <c r="F124" s="89">
        <v>0</v>
      </c>
    </row>
    <row r="125" spans="2:6" x14ac:dyDescent="0.25">
      <c r="B125" s="87" t="s">
        <v>257</v>
      </c>
      <c r="C125" s="87" t="s">
        <v>358</v>
      </c>
      <c r="D125" s="88">
        <v>254</v>
      </c>
      <c r="E125" s="88">
        <v>642</v>
      </c>
      <c r="F125" s="89">
        <v>308</v>
      </c>
    </row>
    <row r="126" spans="2:6" x14ac:dyDescent="0.25">
      <c r="B126" s="87" t="s">
        <v>257</v>
      </c>
      <c r="C126" s="87" t="s">
        <v>359</v>
      </c>
      <c r="D126" s="88">
        <v>157</v>
      </c>
      <c r="E126" s="88">
        <v>440</v>
      </c>
      <c r="F126" s="89">
        <v>436</v>
      </c>
    </row>
    <row r="127" spans="2:6" x14ac:dyDescent="0.25">
      <c r="B127" s="87" t="s">
        <v>257</v>
      </c>
      <c r="C127" s="87" t="s">
        <v>360</v>
      </c>
      <c r="D127" s="88">
        <v>788</v>
      </c>
      <c r="E127" s="88">
        <v>988</v>
      </c>
      <c r="F127" s="89">
        <v>673</v>
      </c>
    </row>
    <row r="128" spans="2:6" x14ac:dyDescent="0.25">
      <c r="B128" s="87" t="s">
        <v>257</v>
      </c>
      <c r="C128" s="87" t="s">
        <v>361</v>
      </c>
      <c r="D128" s="88">
        <v>398</v>
      </c>
      <c r="E128" s="88">
        <v>454</v>
      </c>
      <c r="F128" s="89">
        <v>333</v>
      </c>
    </row>
    <row r="129" spans="2:6" x14ac:dyDescent="0.25">
      <c r="B129" s="87" t="s">
        <v>257</v>
      </c>
      <c r="C129" s="87" t="s">
        <v>362</v>
      </c>
      <c r="D129" s="88">
        <v>796</v>
      </c>
      <c r="E129" s="88">
        <v>912</v>
      </c>
      <c r="F129" s="89">
        <v>687</v>
      </c>
    </row>
    <row r="130" spans="2:6" x14ac:dyDescent="0.25">
      <c r="B130" s="87" t="s">
        <v>257</v>
      </c>
      <c r="C130" s="87" t="s">
        <v>363</v>
      </c>
      <c r="D130" s="88">
        <v>633</v>
      </c>
      <c r="E130" s="88">
        <v>1349</v>
      </c>
      <c r="F130" s="89">
        <v>564</v>
      </c>
    </row>
    <row r="131" spans="2:6" x14ac:dyDescent="0.25">
      <c r="B131" s="87" t="s">
        <v>257</v>
      </c>
      <c r="C131" s="87" t="s">
        <v>364</v>
      </c>
      <c r="D131" s="88">
        <v>1018</v>
      </c>
      <c r="E131" s="88">
        <v>1622</v>
      </c>
      <c r="F131" s="89">
        <v>826</v>
      </c>
    </row>
    <row r="132" spans="2:6" x14ac:dyDescent="0.25">
      <c r="B132" s="87" t="s">
        <v>257</v>
      </c>
      <c r="C132" s="87" t="s">
        <v>365</v>
      </c>
      <c r="D132" s="88">
        <v>356</v>
      </c>
      <c r="E132" s="88">
        <v>429</v>
      </c>
      <c r="F132" s="89">
        <v>621</v>
      </c>
    </row>
    <row r="133" spans="2:6" x14ac:dyDescent="0.25">
      <c r="B133" s="87" t="s">
        <v>257</v>
      </c>
      <c r="C133" s="87" t="s">
        <v>366</v>
      </c>
      <c r="D133" s="88">
        <v>1173</v>
      </c>
      <c r="E133" s="88">
        <v>1342</v>
      </c>
      <c r="F133" s="89">
        <v>605</v>
      </c>
    </row>
    <row r="134" spans="2:6" x14ac:dyDescent="0.25">
      <c r="B134" s="87" t="s">
        <v>257</v>
      </c>
      <c r="C134" s="87" t="s">
        <v>367</v>
      </c>
      <c r="D134" s="88">
        <v>729</v>
      </c>
      <c r="E134" s="88">
        <v>1085</v>
      </c>
      <c r="F134" s="89">
        <v>838</v>
      </c>
    </row>
    <row r="135" spans="2:6" x14ac:dyDescent="0.25">
      <c r="B135" s="87" t="s">
        <v>257</v>
      </c>
      <c r="C135" s="87" t="s">
        <v>368</v>
      </c>
      <c r="D135" s="88">
        <v>935</v>
      </c>
      <c r="E135" s="88">
        <v>1436</v>
      </c>
      <c r="F135" s="89">
        <v>1237</v>
      </c>
    </row>
    <row r="136" spans="2:6" x14ac:dyDescent="0.25">
      <c r="B136" s="87" t="s">
        <v>257</v>
      </c>
      <c r="C136" s="87" t="s">
        <v>369</v>
      </c>
      <c r="D136" s="88">
        <v>930</v>
      </c>
      <c r="E136" s="88">
        <v>1328</v>
      </c>
      <c r="F136" s="89">
        <v>1024</v>
      </c>
    </row>
    <row r="137" spans="2:6" x14ac:dyDescent="0.25">
      <c r="B137" s="87" t="s">
        <v>257</v>
      </c>
      <c r="C137" s="87" t="s">
        <v>370</v>
      </c>
      <c r="D137" s="88">
        <v>1207</v>
      </c>
      <c r="E137" s="88">
        <v>1863</v>
      </c>
      <c r="F137" s="89">
        <v>1375</v>
      </c>
    </row>
    <row r="138" spans="2:6" x14ac:dyDescent="0.25">
      <c r="B138" s="87" t="s">
        <v>257</v>
      </c>
      <c r="C138" s="87" t="s">
        <v>371</v>
      </c>
      <c r="D138" s="88">
        <v>1089</v>
      </c>
      <c r="E138" s="88">
        <v>1554</v>
      </c>
      <c r="F138" s="89">
        <v>945</v>
      </c>
    </row>
    <row r="139" spans="2:6" x14ac:dyDescent="0.25">
      <c r="B139" s="87" t="s">
        <v>257</v>
      </c>
      <c r="C139" s="87" t="s">
        <v>372</v>
      </c>
      <c r="D139" s="88">
        <v>1179</v>
      </c>
      <c r="E139" s="88">
        <v>1541</v>
      </c>
      <c r="F139" s="89">
        <v>1136</v>
      </c>
    </row>
    <row r="140" spans="2:6" x14ac:dyDescent="0.25">
      <c r="B140" s="87" t="s">
        <v>257</v>
      </c>
      <c r="C140" s="87" t="s">
        <v>373</v>
      </c>
      <c r="D140" s="88">
        <v>646</v>
      </c>
      <c r="E140" s="88">
        <v>1144</v>
      </c>
      <c r="F140" s="89">
        <v>1027</v>
      </c>
    </row>
    <row r="141" spans="2:6" x14ac:dyDescent="0.25">
      <c r="B141" s="87" t="s">
        <v>257</v>
      </c>
      <c r="C141" s="87" t="s">
        <v>374</v>
      </c>
      <c r="D141" s="88">
        <v>689</v>
      </c>
      <c r="E141" s="88">
        <v>1352</v>
      </c>
      <c r="F141" s="89">
        <v>777</v>
      </c>
    </row>
    <row r="142" spans="2:6" x14ac:dyDescent="0.25">
      <c r="B142" s="87" t="s">
        <v>257</v>
      </c>
      <c r="C142" s="87" t="s">
        <v>375</v>
      </c>
      <c r="D142" s="88">
        <v>92</v>
      </c>
      <c r="E142" s="88">
        <v>1393</v>
      </c>
      <c r="F142" s="89">
        <v>295</v>
      </c>
    </row>
    <row r="143" spans="2:6" x14ac:dyDescent="0.25">
      <c r="B143" s="87" t="s">
        <v>257</v>
      </c>
      <c r="C143" s="87" t="s">
        <v>376</v>
      </c>
      <c r="D143" s="88">
        <v>361</v>
      </c>
      <c r="E143" s="88">
        <v>4109</v>
      </c>
      <c r="F143" s="89">
        <v>761</v>
      </c>
    </row>
    <row r="144" spans="2:6" x14ac:dyDescent="0.25">
      <c r="B144" s="87" t="s">
        <v>257</v>
      </c>
      <c r="C144" s="87" t="s">
        <v>377</v>
      </c>
      <c r="D144" s="88">
        <v>148</v>
      </c>
      <c r="E144" s="88">
        <v>1510</v>
      </c>
      <c r="F144" s="89">
        <v>300</v>
      </c>
    </row>
    <row r="145" spans="2:6" x14ac:dyDescent="0.25">
      <c r="B145" s="87" t="s">
        <v>257</v>
      </c>
      <c r="C145" s="87" t="s">
        <v>378</v>
      </c>
      <c r="D145" s="88">
        <v>367</v>
      </c>
      <c r="E145" s="88">
        <v>1942</v>
      </c>
      <c r="F145" s="89">
        <v>817</v>
      </c>
    </row>
    <row r="146" spans="2:6" x14ac:dyDescent="0.25">
      <c r="B146" s="87" t="s">
        <v>257</v>
      </c>
      <c r="C146" s="87" t="s">
        <v>379</v>
      </c>
      <c r="D146" s="88">
        <v>96</v>
      </c>
      <c r="E146" s="88">
        <v>249</v>
      </c>
      <c r="F146" s="89">
        <v>191</v>
      </c>
    </row>
    <row r="147" spans="2:6" x14ac:dyDescent="0.25">
      <c r="B147" s="87" t="s">
        <v>257</v>
      </c>
      <c r="C147" s="87" t="s">
        <v>380</v>
      </c>
      <c r="D147" s="88">
        <v>104</v>
      </c>
      <c r="E147" s="88">
        <v>281</v>
      </c>
      <c r="F147" s="89">
        <v>241</v>
      </c>
    </row>
    <row r="148" spans="2:6" x14ac:dyDescent="0.25">
      <c r="B148" s="87" t="s">
        <v>257</v>
      </c>
      <c r="C148" s="87" t="s">
        <v>381</v>
      </c>
      <c r="D148" s="88">
        <v>152</v>
      </c>
      <c r="E148" s="88">
        <v>225</v>
      </c>
      <c r="F148" s="89">
        <v>215</v>
      </c>
    </row>
    <row r="149" spans="2:6" x14ac:dyDescent="0.25">
      <c r="B149" s="87" t="s">
        <v>257</v>
      </c>
      <c r="C149" s="87" t="s">
        <v>382</v>
      </c>
      <c r="D149" s="88">
        <v>661</v>
      </c>
      <c r="E149" s="88">
        <v>1509</v>
      </c>
      <c r="F149" s="89">
        <v>818</v>
      </c>
    </row>
    <row r="150" spans="2:6" x14ac:dyDescent="0.25">
      <c r="B150" s="87" t="s">
        <v>257</v>
      </c>
      <c r="C150" s="87" t="s">
        <v>383</v>
      </c>
      <c r="D150" s="88">
        <v>417</v>
      </c>
      <c r="E150" s="88">
        <v>591</v>
      </c>
      <c r="F150" s="89">
        <v>414</v>
      </c>
    </row>
    <row r="151" spans="2:6" x14ac:dyDescent="0.25">
      <c r="B151" s="87" t="s">
        <v>257</v>
      </c>
      <c r="C151" s="87" t="s">
        <v>384</v>
      </c>
      <c r="D151" s="88">
        <v>588</v>
      </c>
      <c r="E151" s="88">
        <v>1036</v>
      </c>
      <c r="F151" s="89">
        <v>725</v>
      </c>
    </row>
    <row r="152" spans="2:6" x14ac:dyDescent="0.25">
      <c r="B152" s="87" t="s">
        <v>257</v>
      </c>
      <c r="C152" s="87" t="s">
        <v>385</v>
      </c>
      <c r="D152" s="88">
        <v>99</v>
      </c>
      <c r="E152" s="88">
        <v>566</v>
      </c>
      <c r="F152" s="89">
        <v>200</v>
      </c>
    </row>
    <row r="153" spans="2:6" x14ac:dyDescent="0.25">
      <c r="B153" s="87" t="s">
        <v>257</v>
      </c>
      <c r="C153" s="87" t="s">
        <v>386</v>
      </c>
      <c r="D153" s="88">
        <v>1113</v>
      </c>
      <c r="E153" s="88">
        <v>1539</v>
      </c>
      <c r="F153" s="89">
        <v>1209</v>
      </c>
    </row>
    <row r="154" spans="2:6" x14ac:dyDescent="0.25">
      <c r="B154" s="87" t="s">
        <v>257</v>
      </c>
      <c r="C154" s="87" t="s">
        <v>387</v>
      </c>
      <c r="D154" s="88">
        <v>1462</v>
      </c>
      <c r="E154" s="88">
        <v>1993</v>
      </c>
      <c r="F154" s="89">
        <v>1444</v>
      </c>
    </row>
    <row r="155" spans="2:6" x14ac:dyDescent="0.25">
      <c r="B155" s="87" t="s">
        <v>257</v>
      </c>
      <c r="C155" s="87" t="s">
        <v>388</v>
      </c>
      <c r="D155" s="88">
        <v>1094</v>
      </c>
      <c r="E155" s="88">
        <v>1924</v>
      </c>
      <c r="F155" s="89">
        <v>1466</v>
      </c>
    </row>
    <row r="156" spans="2:6" x14ac:dyDescent="0.25">
      <c r="B156" s="87" t="s">
        <v>257</v>
      </c>
      <c r="C156" s="87" t="s">
        <v>389</v>
      </c>
      <c r="D156" s="88">
        <v>924</v>
      </c>
      <c r="E156" s="88">
        <v>1799</v>
      </c>
      <c r="F156" s="89">
        <v>1269</v>
      </c>
    </row>
    <row r="157" spans="2:6" x14ac:dyDescent="0.25">
      <c r="B157" s="87" t="s">
        <v>257</v>
      </c>
      <c r="C157" s="87" t="s">
        <v>390</v>
      </c>
      <c r="D157" s="88">
        <v>0</v>
      </c>
      <c r="E157" s="88">
        <v>0</v>
      </c>
      <c r="F157" s="89">
        <v>0</v>
      </c>
    </row>
    <row r="158" spans="2:6" x14ac:dyDescent="0.25">
      <c r="B158" s="87" t="s">
        <v>257</v>
      </c>
      <c r="C158" s="87" t="s">
        <v>391</v>
      </c>
      <c r="D158" s="88">
        <v>296</v>
      </c>
      <c r="E158" s="88">
        <v>443</v>
      </c>
      <c r="F158" s="89">
        <v>157</v>
      </c>
    </row>
    <row r="159" spans="2:6" x14ac:dyDescent="0.25">
      <c r="B159" s="87" t="s">
        <v>257</v>
      </c>
      <c r="C159" s="87" t="s">
        <v>392</v>
      </c>
      <c r="D159" s="88">
        <v>858</v>
      </c>
      <c r="E159" s="88">
        <v>1562</v>
      </c>
      <c r="F159" s="89">
        <v>832</v>
      </c>
    </row>
    <row r="160" spans="2:6" x14ac:dyDescent="0.25">
      <c r="B160" s="87" t="s">
        <v>257</v>
      </c>
      <c r="C160" s="87" t="s">
        <v>393</v>
      </c>
      <c r="D160" s="88">
        <v>487</v>
      </c>
      <c r="E160" s="88">
        <v>821</v>
      </c>
      <c r="F160" s="89">
        <v>556</v>
      </c>
    </row>
    <row r="161" spans="2:6" x14ac:dyDescent="0.25">
      <c r="B161" s="87" t="s">
        <v>257</v>
      </c>
      <c r="C161" s="87" t="s">
        <v>394</v>
      </c>
      <c r="D161" s="88">
        <v>985</v>
      </c>
      <c r="E161" s="88">
        <v>2100</v>
      </c>
      <c r="F161" s="89">
        <v>1402</v>
      </c>
    </row>
    <row r="162" spans="2:6" x14ac:dyDescent="0.25">
      <c r="B162" s="87" t="s">
        <v>257</v>
      </c>
      <c r="C162" s="87" t="s">
        <v>395</v>
      </c>
      <c r="D162" s="88">
        <v>430</v>
      </c>
      <c r="E162" s="88">
        <v>976</v>
      </c>
      <c r="F162" s="89">
        <v>616</v>
      </c>
    </row>
    <row r="163" spans="2:6" x14ac:dyDescent="0.25">
      <c r="B163" s="87" t="s">
        <v>257</v>
      </c>
      <c r="C163" s="87" t="s">
        <v>396</v>
      </c>
      <c r="D163" s="88">
        <v>11</v>
      </c>
      <c r="E163" s="88">
        <v>4</v>
      </c>
      <c r="F163" s="89">
        <v>351</v>
      </c>
    </row>
    <row r="164" spans="2:6" x14ac:dyDescent="0.25">
      <c r="B164" s="87" t="s">
        <v>257</v>
      </c>
      <c r="C164" s="87" t="s">
        <v>397</v>
      </c>
      <c r="D164" s="88">
        <v>370</v>
      </c>
      <c r="E164" s="88">
        <v>480</v>
      </c>
      <c r="F164" s="89">
        <v>398</v>
      </c>
    </row>
    <row r="165" spans="2:6" x14ac:dyDescent="0.25">
      <c r="B165" s="87" t="s">
        <v>257</v>
      </c>
      <c r="C165" s="87" t="s">
        <v>398</v>
      </c>
      <c r="D165" s="88">
        <v>778</v>
      </c>
      <c r="E165" s="88">
        <v>1343</v>
      </c>
      <c r="F165" s="89">
        <v>1071</v>
      </c>
    </row>
    <row r="166" spans="2:6" x14ac:dyDescent="0.25">
      <c r="B166" s="87" t="s">
        <v>257</v>
      </c>
      <c r="C166" s="87" t="s">
        <v>399</v>
      </c>
      <c r="D166" s="88">
        <v>783</v>
      </c>
      <c r="E166" s="88">
        <v>1429</v>
      </c>
      <c r="F166" s="89">
        <v>1018</v>
      </c>
    </row>
    <row r="167" spans="2:6" x14ac:dyDescent="0.25">
      <c r="B167" s="87" t="s">
        <v>257</v>
      </c>
      <c r="C167" s="87" t="s">
        <v>400</v>
      </c>
      <c r="D167" s="88">
        <v>1376</v>
      </c>
      <c r="E167" s="88">
        <v>2314</v>
      </c>
      <c r="F167" s="89">
        <v>1440</v>
      </c>
    </row>
    <row r="168" spans="2:6" x14ac:dyDescent="0.25">
      <c r="B168" s="87" t="s">
        <v>257</v>
      </c>
      <c r="C168" s="87" t="s">
        <v>401</v>
      </c>
      <c r="D168" s="88">
        <v>717</v>
      </c>
      <c r="E168" s="88">
        <v>1732</v>
      </c>
      <c r="F168" s="89">
        <v>1623</v>
      </c>
    </row>
    <row r="169" spans="2:6" x14ac:dyDescent="0.25">
      <c r="B169" s="87" t="s">
        <v>257</v>
      </c>
      <c r="C169" s="87" t="s">
        <v>402</v>
      </c>
      <c r="D169" s="88">
        <v>301</v>
      </c>
      <c r="E169" s="88">
        <v>720</v>
      </c>
      <c r="F169" s="89">
        <v>629</v>
      </c>
    </row>
    <row r="170" spans="2:6" x14ac:dyDescent="0.25">
      <c r="B170" s="87" t="s">
        <v>257</v>
      </c>
      <c r="C170" s="87" t="s">
        <v>403</v>
      </c>
      <c r="D170" s="88">
        <v>179</v>
      </c>
      <c r="E170" s="88">
        <v>303</v>
      </c>
      <c r="F170" s="89">
        <v>258</v>
      </c>
    </row>
    <row r="171" spans="2:6" x14ac:dyDescent="0.25">
      <c r="B171" s="87" t="s">
        <v>257</v>
      </c>
      <c r="C171" s="87" t="s">
        <v>404</v>
      </c>
      <c r="D171" s="88">
        <v>919</v>
      </c>
      <c r="E171" s="88">
        <v>1445</v>
      </c>
      <c r="F171" s="89">
        <v>1250</v>
      </c>
    </row>
    <row r="172" spans="2:6" x14ac:dyDescent="0.25">
      <c r="B172" s="87" t="s">
        <v>257</v>
      </c>
      <c r="C172" s="87" t="s">
        <v>405</v>
      </c>
      <c r="D172" s="88">
        <v>396</v>
      </c>
      <c r="E172" s="88">
        <v>704</v>
      </c>
      <c r="F172" s="89">
        <v>712</v>
      </c>
    </row>
    <row r="173" spans="2:6" x14ac:dyDescent="0.25">
      <c r="B173" s="87" t="s">
        <v>257</v>
      </c>
      <c r="C173" s="87" t="s">
        <v>406</v>
      </c>
      <c r="D173" s="88">
        <v>387</v>
      </c>
      <c r="E173" s="88">
        <v>735</v>
      </c>
      <c r="F173" s="89">
        <v>677</v>
      </c>
    </row>
    <row r="174" spans="2:6" x14ac:dyDescent="0.25">
      <c r="B174" s="87" t="s">
        <v>257</v>
      </c>
      <c r="C174" s="87" t="s">
        <v>407</v>
      </c>
      <c r="D174" s="88">
        <v>869</v>
      </c>
      <c r="E174" s="88">
        <v>1267</v>
      </c>
      <c r="F174" s="89">
        <v>801</v>
      </c>
    </row>
    <row r="175" spans="2:6" x14ac:dyDescent="0.25">
      <c r="B175" s="87" t="s">
        <v>257</v>
      </c>
      <c r="C175" s="87" t="s">
        <v>408</v>
      </c>
      <c r="D175" s="88">
        <v>1500</v>
      </c>
      <c r="E175" s="88">
        <v>2104</v>
      </c>
      <c r="F175" s="89">
        <v>1570</v>
      </c>
    </row>
    <row r="176" spans="2:6" x14ac:dyDescent="0.25">
      <c r="B176" s="87" t="s">
        <v>257</v>
      </c>
      <c r="C176" s="87" t="s">
        <v>409</v>
      </c>
      <c r="D176" s="88">
        <v>1064</v>
      </c>
      <c r="E176" s="88">
        <v>1509</v>
      </c>
      <c r="F176" s="89">
        <v>1126</v>
      </c>
    </row>
    <row r="177" spans="2:6" x14ac:dyDescent="0.25">
      <c r="B177" s="87" t="s">
        <v>257</v>
      </c>
      <c r="C177" s="87" t="s">
        <v>410</v>
      </c>
      <c r="D177" s="88">
        <v>1272</v>
      </c>
      <c r="E177" s="88">
        <v>2058</v>
      </c>
      <c r="F177" s="89">
        <v>1702</v>
      </c>
    </row>
    <row r="178" spans="2:6" x14ac:dyDescent="0.25">
      <c r="B178" s="87" t="s">
        <v>257</v>
      </c>
      <c r="C178" s="87" t="s">
        <v>411</v>
      </c>
      <c r="D178" s="88">
        <v>916</v>
      </c>
      <c r="E178" s="88">
        <v>1326</v>
      </c>
      <c r="F178" s="89">
        <v>840</v>
      </c>
    </row>
    <row r="179" spans="2:6" x14ac:dyDescent="0.25">
      <c r="B179" s="87" t="s">
        <v>257</v>
      </c>
      <c r="C179" s="87" t="s">
        <v>412</v>
      </c>
      <c r="D179" s="88">
        <v>877</v>
      </c>
      <c r="E179" s="88">
        <v>1498</v>
      </c>
      <c r="F179" s="89">
        <v>1274</v>
      </c>
    </row>
    <row r="180" spans="2:6" x14ac:dyDescent="0.25">
      <c r="B180" s="87" t="s">
        <v>257</v>
      </c>
      <c r="C180" s="87" t="s">
        <v>413</v>
      </c>
      <c r="D180" s="88">
        <v>716</v>
      </c>
      <c r="E180" s="88">
        <v>1119</v>
      </c>
      <c r="F180" s="89">
        <v>837</v>
      </c>
    </row>
    <row r="181" spans="2:6" x14ac:dyDescent="0.25">
      <c r="B181" s="87" t="s">
        <v>257</v>
      </c>
      <c r="C181" s="87" t="s">
        <v>414</v>
      </c>
      <c r="D181" s="88">
        <v>772</v>
      </c>
      <c r="E181" s="88">
        <v>1410</v>
      </c>
      <c r="F181" s="89">
        <v>1199</v>
      </c>
    </row>
    <row r="182" spans="2:6" x14ac:dyDescent="0.25">
      <c r="B182" s="87" t="s">
        <v>257</v>
      </c>
      <c r="C182" s="87" t="s">
        <v>415</v>
      </c>
      <c r="D182" s="88">
        <v>1190</v>
      </c>
      <c r="E182" s="88">
        <v>1969</v>
      </c>
      <c r="F182" s="89">
        <v>1597</v>
      </c>
    </row>
  </sheetData>
  <mergeCells count="1">
    <mergeCell ref="D23:F23"/>
  </mergeCells>
  <pageMargins left="0.7" right="0.7" top="0.75" bottom="0.75" header="0.3" footer="0.3"/>
  <ignoredErrors>
    <ignoredError sqref="C4:C20" unlockedFormula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1"/>
  <sheetViews>
    <sheetView workbookViewId="0"/>
  </sheetViews>
  <sheetFormatPr defaultColWidth="9.140625" defaultRowHeight="15" x14ac:dyDescent="0.25"/>
  <cols>
    <col min="1" max="1" width="2.42578125" style="20" customWidth="1"/>
    <col min="2" max="2" width="7.7109375" style="20" customWidth="1"/>
    <col min="3" max="3" width="9.140625" style="20"/>
    <col min="4" max="4" width="14.42578125" style="20" bestFit="1" customWidth="1"/>
    <col min="5" max="5" width="16.5703125" style="20" bestFit="1" customWidth="1"/>
    <col min="6" max="6" width="9.140625" style="20"/>
    <col min="7" max="7" width="12.5703125" style="20" customWidth="1"/>
    <col min="8" max="16384" width="9.140625" style="20"/>
  </cols>
  <sheetData>
    <row r="1" spans="1:8" x14ac:dyDescent="0.25">
      <c r="B1" s="90" t="s">
        <v>416</v>
      </c>
      <c r="C1" s="90" t="s">
        <v>417</v>
      </c>
      <c r="D1" s="90" t="s">
        <v>418</v>
      </c>
      <c r="E1" s="90" t="s">
        <v>419</v>
      </c>
    </row>
    <row r="2" spans="1:8" x14ac:dyDescent="0.25">
      <c r="B2" s="91">
        <v>1</v>
      </c>
      <c r="C2" s="92">
        <v>8000</v>
      </c>
      <c r="D2" s="91" t="s">
        <v>420</v>
      </c>
      <c r="E2" s="91">
        <v>10</v>
      </c>
    </row>
    <row r="3" spans="1:8" x14ac:dyDescent="0.25">
      <c r="B3" s="91">
        <v>2</v>
      </c>
      <c r="C3" s="92">
        <v>11000</v>
      </c>
      <c r="D3" s="91" t="s">
        <v>420</v>
      </c>
      <c r="E3" s="91">
        <v>9</v>
      </c>
    </row>
    <row r="4" spans="1:8" x14ac:dyDescent="0.25">
      <c r="B4" s="91">
        <v>3</v>
      </c>
      <c r="C4" s="92">
        <v>6000</v>
      </c>
      <c r="D4" s="91" t="s">
        <v>421</v>
      </c>
      <c r="E4" s="91">
        <v>5</v>
      </c>
    </row>
    <row r="5" spans="1:8" x14ac:dyDescent="0.25">
      <c r="B5" s="91">
        <v>4</v>
      </c>
      <c r="C5" s="92">
        <v>15000</v>
      </c>
      <c r="D5" s="91" t="s">
        <v>420</v>
      </c>
      <c r="E5" s="91">
        <v>10</v>
      </c>
    </row>
    <row r="6" spans="1:8" x14ac:dyDescent="0.25">
      <c r="B6" s="91">
        <v>5</v>
      </c>
      <c r="C6" s="92">
        <v>10000</v>
      </c>
      <c r="D6" s="91" t="s">
        <v>421</v>
      </c>
      <c r="E6" s="91">
        <v>2</v>
      </c>
    </row>
    <row r="7" spans="1:8" x14ac:dyDescent="0.25">
      <c r="B7" s="91">
        <v>6</v>
      </c>
      <c r="C7" s="92">
        <v>15000</v>
      </c>
      <c r="D7" s="91" t="s">
        <v>420</v>
      </c>
      <c r="E7" s="91">
        <v>5</v>
      </c>
    </row>
    <row r="8" spans="1:8" x14ac:dyDescent="0.25">
      <c r="B8" s="91">
        <v>7</v>
      </c>
      <c r="C8" s="92">
        <v>13000</v>
      </c>
      <c r="D8" s="91" t="s">
        <v>420</v>
      </c>
      <c r="E8" s="91">
        <v>999</v>
      </c>
    </row>
    <row r="9" spans="1:8" x14ac:dyDescent="0.25">
      <c r="B9" s="91">
        <v>8</v>
      </c>
      <c r="C9" s="92">
        <v>8000</v>
      </c>
      <c r="D9" s="91" t="s">
        <v>420</v>
      </c>
      <c r="E9" s="91">
        <v>2</v>
      </c>
    </row>
    <row r="10" spans="1:8" x14ac:dyDescent="0.25">
      <c r="B10" s="91">
        <v>9</v>
      </c>
      <c r="C10" s="92">
        <v>11000</v>
      </c>
      <c r="D10" s="91" t="s">
        <v>421</v>
      </c>
      <c r="E10" s="91">
        <v>5</v>
      </c>
    </row>
    <row r="11" spans="1:8" x14ac:dyDescent="0.25">
      <c r="B11" s="91">
        <v>10</v>
      </c>
      <c r="C11" s="92">
        <v>9000</v>
      </c>
      <c r="D11" s="91" t="s">
        <v>420</v>
      </c>
      <c r="E11" s="91">
        <v>6</v>
      </c>
    </row>
    <row r="12" spans="1:8" x14ac:dyDescent="0.25">
      <c r="C12" s="105"/>
    </row>
    <row r="14" spans="1:8" ht="15.75" thickBot="1" x14ac:dyDescent="0.3">
      <c r="B14" s="93" t="s">
        <v>422</v>
      </c>
    </row>
    <row r="15" spans="1:8" ht="15.75" thickBot="1" x14ac:dyDescent="0.3">
      <c r="A15" s="20">
        <v>1</v>
      </c>
      <c r="B15" s="20" t="s">
        <v>423</v>
      </c>
      <c r="H15" s="94">
        <f>SUMIF(D2:D11,D2,C2:C11)</f>
        <v>79000</v>
      </c>
    </row>
    <row r="16" spans="1:8" ht="15.75" thickBot="1" x14ac:dyDescent="0.3">
      <c r="A16" s="20">
        <v>2</v>
      </c>
      <c r="B16" s="20" t="s">
        <v>424</v>
      </c>
      <c r="H16" s="94">
        <f>SUMIF(D2:D11,D4,C2:C11)</f>
        <v>27000</v>
      </c>
    </row>
    <row r="17" spans="1:8" ht="15.75" thickBot="1" x14ac:dyDescent="0.3"/>
    <row r="18" spans="1:8" ht="15.75" thickBot="1" x14ac:dyDescent="0.3">
      <c r="A18" s="20">
        <v>3</v>
      </c>
      <c r="B18" s="20" t="s">
        <v>425</v>
      </c>
      <c r="H18" s="94">
        <f>SUMIF(C2:C11,"&gt;10000",E2:E11)</f>
        <v>1028</v>
      </c>
    </row>
    <row r="19" spans="1:8" ht="15.75" thickBot="1" x14ac:dyDescent="0.3"/>
    <row r="20" spans="1:8" ht="15.75" thickBot="1" x14ac:dyDescent="0.3">
      <c r="A20" s="20">
        <v>4</v>
      </c>
      <c r="B20" s="20" t="s">
        <v>426</v>
      </c>
      <c r="H20" s="94">
        <f>SUMIF(C2:C11,"&gt;10000",C2:C11)</f>
        <v>65000</v>
      </c>
    </row>
    <row r="21" spans="1:8" ht="15.75" thickBot="1" x14ac:dyDescent="0.3">
      <c r="A21" s="20">
        <v>5</v>
      </c>
      <c r="B21" s="20" t="s">
        <v>427</v>
      </c>
      <c r="H21" s="94">
        <f>SUMIF(C2:C11,"&lt;9500",C2:C11)</f>
        <v>31000</v>
      </c>
    </row>
  </sheetData>
  <pageMargins left="0.7" right="0.7" top="0.75" bottom="0.75" header="0.3" footer="0.3"/>
  <ignoredErrors>
    <ignoredError sqref="H20:H21 H15:H18" unlockedFormula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48"/>
  <sheetViews>
    <sheetView topLeftCell="A2" workbookViewId="0">
      <selection activeCell="C40" sqref="C40"/>
    </sheetView>
  </sheetViews>
  <sheetFormatPr defaultColWidth="8.7109375" defaultRowHeight="12.75" outlineLevelRow="1" x14ac:dyDescent="0.2"/>
  <cols>
    <col min="1" max="1" width="1.7109375" style="95" bestFit="1" customWidth="1"/>
    <col min="2" max="2" width="18.140625" style="95" customWidth="1"/>
    <col min="3" max="3" width="12.28515625" style="95" bestFit="1" customWidth="1"/>
    <col min="4" max="4" width="8.42578125" style="95" bestFit="1" customWidth="1"/>
    <col min="5" max="5" width="11.42578125" style="95" bestFit="1" customWidth="1"/>
    <col min="6" max="16384" width="8.7109375" style="95"/>
  </cols>
  <sheetData>
    <row r="1" spans="1:5" x14ac:dyDescent="0.2">
      <c r="B1" s="96" t="s">
        <v>428</v>
      </c>
    </row>
    <row r="2" spans="1:5" x14ac:dyDescent="0.2">
      <c r="B2" s="97" t="s">
        <v>1</v>
      </c>
      <c r="C2" s="97" t="s">
        <v>429</v>
      </c>
      <c r="D2" s="97" t="s">
        <v>430</v>
      </c>
      <c r="E2" s="97" t="s">
        <v>431</v>
      </c>
    </row>
    <row r="3" spans="1:5" x14ac:dyDescent="0.2">
      <c r="B3" s="98" t="s">
        <v>432</v>
      </c>
      <c r="C3" s="98" t="s">
        <v>433</v>
      </c>
      <c r="D3" s="98" t="s">
        <v>434</v>
      </c>
      <c r="E3" s="98">
        <v>28</v>
      </c>
    </row>
    <row r="4" spans="1:5" x14ac:dyDescent="0.2">
      <c r="B4" s="98" t="s">
        <v>435</v>
      </c>
      <c r="C4" s="98" t="s">
        <v>436</v>
      </c>
      <c r="D4" s="98" t="s">
        <v>437</v>
      </c>
      <c r="E4" s="98">
        <v>8</v>
      </c>
    </row>
    <row r="5" spans="1:5" x14ac:dyDescent="0.2">
      <c r="B5" s="98" t="s">
        <v>438</v>
      </c>
      <c r="C5" s="98" t="s">
        <v>439</v>
      </c>
      <c r="D5" s="98" t="s">
        <v>434</v>
      </c>
      <c r="E5" s="98">
        <v>19</v>
      </c>
    </row>
    <row r="6" spans="1:5" x14ac:dyDescent="0.2">
      <c r="B6" s="98" t="s">
        <v>440</v>
      </c>
      <c r="C6" s="98" t="s">
        <v>441</v>
      </c>
      <c r="D6" s="98" t="s">
        <v>442</v>
      </c>
      <c r="E6" s="98">
        <v>2</v>
      </c>
    </row>
    <row r="7" spans="1:5" x14ac:dyDescent="0.2">
      <c r="B7" s="98" t="s">
        <v>443</v>
      </c>
      <c r="C7" s="98" t="s">
        <v>439</v>
      </c>
      <c r="D7" s="98" t="s">
        <v>444</v>
      </c>
      <c r="E7" s="98">
        <v>5</v>
      </c>
    </row>
    <row r="8" spans="1:5" x14ac:dyDescent="0.2">
      <c r="B8" s="98" t="s">
        <v>445</v>
      </c>
      <c r="C8" s="98" t="s">
        <v>436</v>
      </c>
      <c r="D8" s="98" t="s">
        <v>434</v>
      </c>
      <c r="E8" s="98">
        <v>9</v>
      </c>
    </row>
    <row r="9" spans="1:5" x14ac:dyDescent="0.2">
      <c r="B9" s="98" t="s">
        <v>446</v>
      </c>
      <c r="C9" s="98" t="s">
        <v>439</v>
      </c>
      <c r="D9" s="98" t="s">
        <v>447</v>
      </c>
      <c r="E9" s="98">
        <v>18</v>
      </c>
    </row>
    <row r="10" spans="1:5" x14ac:dyDescent="0.2">
      <c r="B10" s="98" t="s">
        <v>448</v>
      </c>
      <c r="C10" s="98" t="s">
        <v>433</v>
      </c>
      <c r="D10" s="98" t="s">
        <v>434</v>
      </c>
      <c r="E10" s="98">
        <v>11</v>
      </c>
    </row>
    <row r="11" spans="1:5" x14ac:dyDescent="0.2">
      <c r="B11" s="98" t="s">
        <v>449</v>
      </c>
      <c r="C11" s="98" t="s">
        <v>441</v>
      </c>
      <c r="D11" s="98" t="s">
        <v>450</v>
      </c>
      <c r="E11" s="98">
        <v>3</v>
      </c>
    </row>
    <row r="12" spans="1:5" x14ac:dyDescent="0.2">
      <c r="B12" s="98" t="s">
        <v>451</v>
      </c>
      <c r="C12" s="98" t="s">
        <v>436</v>
      </c>
      <c r="D12" s="98" t="s">
        <v>452</v>
      </c>
      <c r="E12" s="98">
        <v>15</v>
      </c>
    </row>
    <row r="14" spans="1:5" ht="15" x14ac:dyDescent="0.25">
      <c r="B14" s="99" t="s">
        <v>453</v>
      </c>
      <c r="E14" s="100" t="s">
        <v>454</v>
      </c>
    </row>
    <row r="16" spans="1:5" x14ac:dyDescent="0.2">
      <c r="A16" s="95">
        <v>1</v>
      </c>
      <c r="B16" s="101" t="s">
        <v>455</v>
      </c>
    </row>
    <row r="17" spans="1:11" x14ac:dyDescent="0.2">
      <c r="C17" s="102" t="s">
        <v>456</v>
      </c>
      <c r="D17" s="102"/>
    </row>
    <row r="18" spans="1:11" x14ac:dyDescent="0.2">
      <c r="B18" s="103" t="s">
        <v>140</v>
      </c>
      <c r="C18" s="104">
        <f>SUMIFS(E3:E12,C3:C12,C8,D3:D12,D8)</f>
        <v>9</v>
      </c>
    </row>
    <row r="19" spans="1:11" hidden="1" outlineLevel="1" x14ac:dyDescent="0.2">
      <c r="B19" s="138"/>
      <c r="C19" s="138"/>
      <c r="D19" s="138"/>
      <c r="E19" s="138"/>
      <c r="F19" s="138"/>
      <c r="G19" s="138"/>
      <c r="H19" s="138"/>
      <c r="I19" s="138"/>
      <c r="J19" s="138"/>
      <c r="K19" s="138"/>
    </row>
    <row r="20" spans="1:11" hidden="1" outlineLevel="1" x14ac:dyDescent="0.2">
      <c r="B20" s="138"/>
      <c r="C20" s="138"/>
      <c r="D20" s="138"/>
      <c r="E20" s="138"/>
      <c r="F20" s="138"/>
      <c r="G20" s="138"/>
      <c r="H20" s="138"/>
      <c r="I20" s="138"/>
      <c r="J20" s="138"/>
      <c r="K20" s="138"/>
    </row>
    <row r="21" spans="1:11" hidden="1" outlineLevel="1" x14ac:dyDescent="0.2">
      <c r="B21" s="138"/>
      <c r="C21" s="138"/>
      <c r="D21" s="138"/>
      <c r="E21" s="138"/>
      <c r="F21" s="138"/>
      <c r="G21" s="138"/>
      <c r="H21" s="138"/>
      <c r="I21" s="138"/>
      <c r="J21" s="138"/>
      <c r="K21" s="138"/>
    </row>
    <row r="22" spans="1:11" hidden="1" outlineLevel="1" x14ac:dyDescent="0.2">
      <c r="B22" s="138"/>
      <c r="C22" s="138"/>
      <c r="D22" s="138"/>
      <c r="E22" s="138"/>
      <c r="F22" s="138"/>
      <c r="G22" s="138"/>
      <c r="H22" s="138"/>
      <c r="I22" s="138"/>
      <c r="J22" s="138"/>
      <c r="K22" s="138"/>
    </row>
    <row r="23" spans="1:11" hidden="1" outlineLevel="1" x14ac:dyDescent="0.2">
      <c r="B23" s="138"/>
      <c r="C23" s="138"/>
      <c r="D23" s="138"/>
      <c r="E23" s="138"/>
      <c r="F23" s="138"/>
      <c r="G23" s="138"/>
      <c r="H23" s="138"/>
      <c r="I23" s="138"/>
      <c r="J23" s="138"/>
      <c r="K23" s="138"/>
    </row>
    <row r="24" spans="1:11" hidden="1" outlineLevel="1" x14ac:dyDescent="0.2">
      <c r="B24" s="138"/>
      <c r="C24" s="138"/>
      <c r="D24" s="138"/>
      <c r="E24" s="138"/>
      <c r="F24" s="138"/>
      <c r="G24" s="138"/>
      <c r="H24" s="138"/>
      <c r="I24" s="138"/>
      <c r="J24" s="138"/>
      <c r="K24" s="138"/>
    </row>
    <row r="25" spans="1:11" hidden="1" outlineLevel="1" x14ac:dyDescent="0.2">
      <c r="B25" s="138"/>
      <c r="C25" s="138"/>
      <c r="D25" s="138"/>
      <c r="E25" s="138"/>
      <c r="F25" s="138"/>
      <c r="G25" s="138"/>
      <c r="H25" s="138"/>
      <c r="I25" s="138"/>
      <c r="J25" s="138"/>
      <c r="K25" s="138"/>
    </row>
    <row r="26" spans="1:11" collapsed="1" x14ac:dyDescent="0.2"/>
    <row r="27" spans="1:11" x14ac:dyDescent="0.2">
      <c r="A27" s="95">
        <v>2</v>
      </c>
      <c r="B27" s="101" t="s">
        <v>457</v>
      </c>
    </row>
    <row r="28" spans="1:11" x14ac:dyDescent="0.2">
      <c r="C28" s="102" t="s">
        <v>456</v>
      </c>
      <c r="D28" s="102"/>
    </row>
    <row r="29" spans="1:11" x14ac:dyDescent="0.2">
      <c r="B29" s="103" t="s">
        <v>140</v>
      </c>
      <c r="C29" s="104">
        <f>SUMIF(C3:C12,C11,E3:E12)</f>
        <v>5</v>
      </c>
    </row>
    <row r="30" spans="1:11" hidden="1" outlineLevel="1" x14ac:dyDescent="0.2">
      <c r="B30" s="138"/>
      <c r="C30" s="138"/>
      <c r="D30" s="138"/>
      <c r="E30" s="138"/>
      <c r="F30" s="138"/>
      <c r="G30" s="138"/>
      <c r="H30" s="138"/>
      <c r="I30" s="138"/>
      <c r="J30" s="138"/>
      <c r="K30" s="138"/>
    </row>
    <row r="31" spans="1:11" hidden="1" outlineLevel="1" x14ac:dyDescent="0.2">
      <c r="B31" s="138"/>
      <c r="C31" s="138"/>
      <c r="D31" s="138"/>
      <c r="E31" s="138"/>
      <c r="F31" s="138"/>
      <c r="G31" s="138"/>
      <c r="H31" s="138"/>
      <c r="I31" s="138"/>
      <c r="J31" s="138"/>
      <c r="K31" s="138"/>
    </row>
    <row r="32" spans="1:11" hidden="1" outlineLevel="1" x14ac:dyDescent="0.2">
      <c r="B32" s="138"/>
      <c r="C32" s="138"/>
      <c r="D32" s="138"/>
      <c r="E32" s="138"/>
      <c r="F32" s="138"/>
      <c r="G32" s="138"/>
      <c r="H32" s="138"/>
      <c r="I32" s="138"/>
      <c r="J32" s="138"/>
      <c r="K32" s="138"/>
    </row>
    <row r="33" spans="1:11" hidden="1" outlineLevel="1" x14ac:dyDescent="0.2">
      <c r="B33" s="138"/>
      <c r="C33" s="138"/>
      <c r="D33" s="138"/>
      <c r="E33" s="138"/>
      <c r="F33" s="138"/>
      <c r="G33" s="138"/>
      <c r="H33" s="138"/>
      <c r="I33" s="138"/>
      <c r="J33" s="138"/>
      <c r="K33" s="138"/>
    </row>
    <row r="34" spans="1:11" hidden="1" outlineLevel="1" x14ac:dyDescent="0.2">
      <c r="B34" s="138"/>
      <c r="C34" s="138"/>
      <c r="D34" s="138"/>
      <c r="E34" s="138"/>
      <c r="F34" s="138"/>
      <c r="G34" s="138"/>
      <c r="H34" s="138"/>
      <c r="I34" s="138"/>
      <c r="J34" s="138"/>
      <c r="K34" s="138"/>
    </row>
    <row r="35" spans="1:11" hidden="1" outlineLevel="1" x14ac:dyDescent="0.2">
      <c r="B35" s="138"/>
      <c r="C35" s="138"/>
      <c r="D35" s="138"/>
      <c r="E35" s="138"/>
      <c r="F35" s="138"/>
      <c r="G35" s="138"/>
      <c r="H35" s="138"/>
      <c r="I35" s="138"/>
      <c r="J35" s="138"/>
      <c r="K35" s="138"/>
    </row>
    <row r="36" spans="1:11" hidden="1" outlineLevel="1" x14ac:dyDescent="0.2">
      <c r="B36" s="138"/>
      <c r="C36" s="138"/>
      <c r="D36" s="138"/>
      <c r="E36" s="138"/>
      <c r="F36" s="138"/>
      <c r="G36" s="138"/>
      <c r="H36" s="138"/>
      <c r="I36" s="138"/>
      <c r="J36" s="138"/>
      <c r="K36" s="138"/>
    </row>
    <row r="37" spans="1:11" collapsed="1" x14ac:dyDescent="0.2"/>
    <row r="38" spans="1:11" x14ac:dyDescent="0.2">
      <c r="A38" s="95">
        <v>2</v>
      </c>
      <c r="B38" s="101" t="s">
        <v>458</v>
      </c>
    </row>
    <row r="39" spans="1:11" x14ac:dyDescent="0.2">
      <c r="C39" s="102" t="s">
        <v>456</v>
      </c>
      <c r="D39" s="102"/>
    </row>
    <row r="40" spans="1:11" x14ac:dyDescent="0.2">
      <c r="B40" s="103" t="s">
        <v>140</v>
      </c>
      <c r="C40" s="104">
        <f>SUMIF(D3:D12,D3,E3:E12)+SUMIF(D3:D12,D4,E3:E12)</f>
        <v>75</v>
      </c>
    </row>
    <row r="41" spans="1:11" hidden="1" outlineLevel="1" x14ac:dyDescent="0.2">
      <c r="B41" s="138"/>
      <c r="C41" s="138"/>
      <c r="D41" s="138"/>
      <c r="E41" s="138"/>
      <c r="F41" s="138"/>
      <c r="G41" s="138"/>
      <c r="H41" s="138"/>
      <c r="I41" s="138"/>
      <c r="J41" s="138"/>
      <c r="K41" s="138"/>
    </row>
    <row r="42" spans="1:11" hidden="1" outlineLevel="1" x14ac:dyDescent="0.2">
      <c r="B42" s="138"/>
      <c r="C42" s="138"/>
      <c r="D42" s="138"/>
      <c r="E42" s="138"/>
      <c r="F42" s="138"/>
      <c r="G42" s="138"/>
      <c r="H42" s="138"/>
      <c r="I42" s="138"/>
      <c r="J42" s="138"/>
      <c r="K42" s="138"/>
    </row>
    <row r="43" spans="1:11" hidden="1" outlineLevel="1" x14ac:dyDescent="0.2">
      <c r="B43" s="138"/>
      <c r="C43" s="138"/>
      <c r="D43" s="138"/>
      <c r="E43" s="138"/>
      <c r="F43" s="138"/>
      <c r="G43" s="138"/>
      <c r="H43" s="138"/>
      <c r="I43" s="138"/>
      <c r="J43" s="138"/>
      <c r="K43" s="138"/>
    </row>
    <row r="44" spans="1:11" hidden="1" outlineLevel="1" x14ac:dyDescent="0.2">
      <c r="B44" s="138"/>
      <c r="C44" s="138"/>
      <c r="D44" s="138"/>
      <c r="E44" s="138"/>
      <c r="F44" s="138"/>
      <c r="G44" s="138"/>
      <c r="H44" s="138"/>
      <c r="I44" s="138"/>
      <c r="J44" s="138"/>
      <c r="K44" s="138"/>
    </row>
    <row r="45" spans="1:11" hidden="1" outlineLevel="1" x14ac:dyDescent="0.2">
      <c r="B45" s="138"/>
      <c r="C45" s="138"/>
      <c r="D45" s="138"/>
      <c r="E45" s="138"/>
      <c r="F45" s="138"/>
      <c r="G45" s="138"/>
      <c r="H45" s="138"/>
      <c r="I45" s="138"/>
      <c r="J45" s="138"/>
      <c r="K45" s="138"/>
    </row>
    <row r="46" spans="1:11" hidden="1" outlineLevel="1" x14ac:dyDescent="0.2">
      <c r="B46" s="138"/>
      <c r="C46" s="138"/>
      <c r="D46" s="138"/>
      <c r="E46" s="138"/>
      <c r="F46" s="138"/>
      <c r="G46" s="138"/>
      <c r="H46" s="138"/>
      <c r="I46" s="138"/>
      <c r="J46" s="138"/>
      <c r="K46" s="138"/>
    </row>
    <row r="47" spans="1:11" hidden="1" outlineLevel="1" x14ac:dyDescent="0.2">
      <c r="B47" s="138"/>
      <c r="C47" s="138"/>
      <c r="D47" s="138"/>
      <c r="E47" s="138"/>
      <c r="F47" s="138"/>
      <c r="G47" s="138"/>
      <c r="H47" s="138"/>
      <c r="I47" s="138"/>
      <c r="J47" s="138"/>
      <c r="K47" s="138"/>
    </row>
    <row r="48" spans="1:11" collapsed="1" x14ac:dyDescent="0.2"/>
  </sheetData>
  <mergeCells count="3">
    <mergeCell ref="B19:K25"/>
    <mergeCell ref="B30:K36"/>
    <mergeCell ref="B41:K47"/>
  </mergeCells>
  <hyperlinks>
    <hyperlink ref="E14" location="'SUMIF2  Answers'!A1" display="'SUMIF2  Answers'!A1" xr:uid="{00000000-0004-0000-12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2"/>
  <sheetViews>
    <sheetView workbookViewId="0">
      <selection activeCell="C9" sqref="C9"/>
    </sheetView>
  </sheetViews>
  <sheetFormatPr defaultRowHeight="15" x14ac:dyDescent="0.25"/>
  <cols>
    <col min="1" max="1" width="19.28515625" style="106" customWidth="1"/>
    <col min="2" max="2" width="16.28515625" style="106" bestFit="1" customWidth="1"/>
    <col min="3" max="3" width="21.5703125" style="106" bestFit="1" customWidth="1"/>
    <col min="4" max="16384" width="9.140625" style="106"/>
  </cols>
  <sheetData>
    <row r="1" spans="1:3" x14ac:dyDescent="0.25">
      <c r="A1" s="106" t="s">
        <v>459</v>
      </c>
    </row>
    <row r="2" spans="1:3" x14ac:dyDescent="0.25">
      <c r="A2" s="106" t="s">
        <v>460</v>
      </c>
    </row>
    <row r="3" spans="1:3" x14ac:dyDescent="0.25">
      <c r="A3" s="106" t="s">
        <v>461</v>
      </c>
    </row>
    <row r="4" spans="1:3" x14ac:dyDescent="0.25">
      <c r="A4" s="106" t="s">
        <v>462</v>
      </c>
    </row>
    <row r="6" spans="1:3" x14ac:dyDescent="0.25">
      <c r="A6" s="106" t="s">
        <v>463</v>
      </c>
    </row>
    <row r="8" spans="1:3" x14ac:dyDescent="0.25">
      <c r="A8" s="90" t="s">
        <v>464</v>
      </c>
      <c r="B8" s="90" t="s">
        <v>148</v>
      </c>
      <c r="C8" s="90" t="s">
        <v>465</v>
      </c>
    </row>
    <row r="9" spans="1:3" x14ac:dyDescent="0.25">
      <c r="A9" s="91" t="s">
        <v>466</v>
      </c>
      <c r="B9" s="91">
        <v>78</v>
      </c>
      <c r="C9" s="107" t="str">
        <f>IF(B9&gt;=80,"Excellent",IF(B9&lt;60,"Failed","Good"))</f>
        <v>Good</v>
      </c>
    </row>
    <row r="10" spans="1:3" x14ac:dyDescent="0.25">
      <c r="A10" s="91" t="s">
        <v>467</v>
      </c>
      <c r="B10" s="91">
        <v>85</v>
      </c>
      <c r="C10" s="107" t="str">
        <f t="shared" ref="C10:C12" si="0">IF(B10&gt;=80,"Excellent",IF(B10&lt;60,"Failed","Good"))</f>
        <v>Excellent</v>
      </c>
    </row>
    <row r="11" spans="1:3" x14ac:dyDescent="0.25">
      <c r="A11" s="91" t="s">
        <v>468</v>
      </c>
      <c r="B11" s="91">
        <v>44</v>
      </c>
      <c r="C11" s="107" t="str">
        <f t="shared" si="0"/>
        <v>Failed</v>
      </c>
    </row>
    <row r="12" spans="1:3" x14ac:dyDescent="0.25">
      <c r="A12" s="91" t="s">
        <v>469</v>
      </c>
      <c r="B12" s="91">
        <v>61</v>
      </c>
      <c r="C12" s="107" t="str">
        <f t="shared" si="0"/>
        <v>Good</v>
      </c>
    </row>
  </sheetData>
  <pageMargins left="0.7" right="0.7" top="0.75" bottom="0.75" header="0.3" footer="0.3"/>
  <ignoredErrors>
    <ignoredError sqref="C9:C12" unlockedFormula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27"/>
  <sheetViews>
    <sheetView workbookViewId="0">
      <selection activeCell="B8" sqref="B8"/>
    </sheetView>
  </sheetViews>
  <sheetFormatPr defaultRowHeight="15" x14ac:dyDescent="0.25"/>
  <cols>
    <col min="1" max="1" width="10.85546875" style="106" bestFit="1" customWidth="1"/>
    <col min="2" max="2" width="14" style="106" bestFit="1" customWidth="1"/>
    <col min="3" max="4" width="9.140625" style="106"/>
    <col min="5" max="5" width="10.5703125" style="106" customWidth="1"/>
    <col min="6" max="6" width="9.140625" style="106"/>
    <col min="7" max="7" width="11.5703125" style="106" customWidth="1"/>
    <col min="8" max="8" width="13.5703125" style="106" customWidth="1"/>
    <col min="9" max="9" width="15.5703125" style="106" customWidth="1"/>
    <col min="10" max="12" width="9.140625" style="106"/>
    <col min="13" max="13" width="10.85546875" style="106" bestFit="1" customWidth="1"/>
    <col min="14" max="16384" width="9.140625" style="106"/>
  </cols>
  <sheetData>
    <row r="1" spans="1:8" x14ac:dyDescent="0.25">
      <c r="A1" s="106" t="s">
        <v>470</v>
      </c>
    </row>
    <row r="2" spans="1:8" x14ac:dyDescent="0.25">
      <c r="A2" s="106" t="s">
        <v>471</v>
      </c>
    </row>
    <row r="4" spans="1:8" x14ac:dyDescent="0.25">
      <c r="G4" s="93" t="s">
        <v>472</v>
      </c>
    </row>
    <row r="6" spans="1:8" ht="30" x14ac:dyDescent="0.25">
      <c r="G6" s="108" t="s">
        <v>242</v>
      </c>
      <c r="H6" s="108" t="s">
        <v>473</v>
      </c>
    </row>
    <row r="7" spans="1:8" x14ac:dyDescent="0.25">
      <c r="A7" s="93" t="s">
        <v>242</v>
      </c>
      <c r="B7" s="93" t="s">
        <v>473</v>
      </c>
      <c r="G7" s="109">
        <v>44197</v>
      </c>
      <c r="H7" s="110">
        <v>1.3671</v>
      </c>
    </row>
    <row r="8" spans="1:8" x14ac:dyDescent="0.25">
      <c r="A8" s="111">
        <v>44201</v>
      </c>
      <c r="B8" s="112">
        <f>VLOOKUP(A8,G7:H27,2,1)</f>
        <v>1.3624000000000001</v>
      </c>
      <c r="G8" s="109">
        <v>44200</v>
      </c>
      <c r="H8" s="110">
        <v>1.3569</v>
      </c>
    </row>
    <row r="9" spans="1:8" x14ac:dyDescent="0.25">
      <c r="A9" s="111">
        <v>44211</v>
      </c>
      <c r="B9" s="112">
        <f t="shared" ref="B9:B10" si="0">VLOOKUP(A9,G8:H28,2,1)</f>
        <v>1.3586</v>
      </c>
      <c r="G9" s="109">
        <v>44201</v>
      </c>
      <c r="H9" s="110">
        <v>1.3624000000000001</v>
      </c>
    </row>
    <row r="10" spans="1:8" x14ac:dyDescent="0.25">
      <c r="A10" s="111">
        <v>44220</v>
      </c>
      <c r="B10" s="112">
        <f t="shared" si="0"/>
        <v>1.3684000000000001</v>
      </c>
      <c r="G10" s="109">
        <v>44202</v>
      </c>
      <c r="H10" s="110">
        <v>1.3607</v>
      </c>
    </row>
    <row r="11" spans="1:8" x14ac:dyDescent="0.25">
      <c r="G11" s="109">
        <v>44203</v>
      </c>
      <c r="H11" s="110">
        <v>1.3563000000000001</v>
      </c>
    </row>
    <row r="12" spans="1:8" x14ac:dyDescent="0.25">
      <c r="G12" s="109">
        <v>44204</v>
      </c>
      <c r="H12" s="110">
        <v>1.3563000000000001</v>
      </c>
    </row>
    <row r="13" spans="1:8" x14ac:dyDescent="0.25">
      <c r="G13" s="109">
        <v>44207</v>
      </c>
      <c r="H13" s="110">
        <v>1.3513999999999999</v>
      </c>
    </row>
    <row r="14" spans="1:8" x14ac:dyDescent="0.25">
      <c r="G14" s="109">
        <v>44208</v>
      </c>
      <c r="H14" s="110">
        <v>1.3663000000000001</v>
      </c>
    </row>
    <row r="15" spans="1:8" x14ac:dyDescent="0.25">
      <c r="G15" s="109">
        <v>44209</v>
      </c>
      <c r="H15" s="110">
        <v>1.3636999999999999</v>
      </c>
    </row>
    <row r="16" spans="1:8" x14ac:dyDescent="0.25">
      <c r="G16" s="109">
        <v>44210</v>
      </c>
      <c r="H16" s="110">
        <v>1.3687</v>
      </c>
    </row>
    <row r="17" spans="7:8" x14ac:dyDescent="0.25">
      <c r="G17" s="109">
        <v>44211</v>
      </c>
      <c r="H17" s="110">
        <v>1.3586</v>
      </c>
    </row>
    <row r="18" spans="7:8" x14ac:dyDescent="0.25">
      <c r="G18" s="109">
        <v>44214</v>
      </c>
      <c r="H18" s="110">
        <v>1.3584000000000001</v>
      </c>
    </row>
    <row r="19" spans="7:8" x14ac:dyDescent="0.25">
      <c r="G19" s="109">
        <v>44215</v>
      </c>
      <c r="H19" s="110">
        <v>1.3628</v>
      </c>
    </row>
    <row r="20" spans="7:8" x14ac:dyDescent="0.25">
      <c r="G20" s="109">
        <v>44216</v>
      </c>
      <c r="H20" s="110">
        <v>1.3653</v>
      </c>
    </row>
    <row r="21" spans="7:8" x14ac:dyDescent="0.25">
      <c r="G21" s="109">
        <v>44217</v>
      </c>
      <c r="H21" s="110">
        <v>1.3732</v>
      </c>
    </row>
    <row r="22" spans="7:8" x14ac:dyDescent="0.25">
      <c r="G22" s="109">
        <v>44218</v>
      </c>
      <c r="H22" s="110">
        <v>1.3684000000000001</v>
      </c>
    </row>
    <row r="23" spans="7:8" x14ac:dyDescent="0.25">
      <c r="G23" s="109">
        <v>44221</v>
      </c>
      <c r="H23" s="110">
        <v>1.3673999999999999</v>
      </c>
    </row>
    <row r="24" spans="7:8" x14ac:dyDescent="0.25">
      <c r="G24" s="109">
        <v>44222</v>
      </c>
      <c r="H24" s="110">
        <v>1.3733</v>
      </c>
    </row>
    <row r="25" spans="7:8" x14ac:dyDescent="0.25">
      <c r="G25" s="109">
        <v>44223</v>
      </c>
      <c r="H25" s="110">
        <v>1.3686</v>
      </c>
    </row>
    <row r="26" spans="7:8" x14ac:dyDescent="0.25">
      <c r="G26" s="109">
        <v>44224</v>
      </c>
      <c r="H26" s="110">
        <v>1.3717999999999999</v>
      </c>
    </row>
    <row r="27" spans="7:8" x14ac:dyDescent="0.25">
      <c r="G27" s="109">
        <v>44225</v>
      </c>
      <c r="H27" s="110">
        <v>1.3702000000000001</v>
      </c>
    </row>
  </sheetData>
  <pageMargins left="0.7" right="0.7" top="0.75" bottom="0.75" header="0.3" footer="0.3"/>
  <ignoredErrors>
    <ignoredError sqref="B8:B10" unlockedFormula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7"/>
  <sheetViews>
    <sheetView workbookViewId="0">
      <selection activeCell="C33" sqref="C33"/>
    </sheetView>
  </sheetViews>
  <sheetFormatPr defaultColWidth="14.42578125" defaultRowHeight="15" x14ac:dyDescent="0.25"/>
  <cols>
    <col min="1" max="1" width="2" style="106" bestFit="1" customWidth="1"/>
    <col min="2" max="2" width="16.42578125" style="106" customWidth="1"/>
    <col min="3" max="3" width="20.5703125" style="106" customWidth="1"/>
    <col min="4" max="16384" width="14.42578125" style="106"/>
  </cols>
  <sheetData>
    <row r="1" spans="1:9" x14ac:dyDescent="0.25">
      <c r="A1" s="113"/>
      <c r="B1" s="139" t="s">
        <v>474</v>
      </c>
      <c r="C1" s="140"/>
      <c r="D1" s="140"/>
      <c r="E1" s="140"/>
      <c r="F1" s="114"/>
      <c r="G1" s="114"/>
      <c r="H1" s="114"/>
      <c r="I1" s="114"/>
    </row>
    <row r="2" spans="1:9" x14ac:dyDescent="0.25">
      <c r="A2" s="113"/>
      <c r="B2" s="114"/>
      <c r="C2" s="114"/>
      <c r="D2" s="114"/>
      <c r="E2" s="114"/>
      <c r="F2" s="114"/>
      <c r="G2" s="114"/>
      <c r="H2" s="114"/>
      <c r="I2" s="114"/>
    </row>
    <row r="3" spans="1:9" x14ac:dyDescent="0.25">
      <c r="A3" s="113"/>
      <c r="B3" s="115" t="s">
        <v>119</v>
      </c>
      <c r="C3" s="116" t="s">
        <v>1</v>
      </c>
      <c r="D3" s="116" t="s">
        <v>475</v>
      </c>
      <c r="E3" s="116" t="s">
        <v>136</v>
      </c>
      <c r="F3" s="116" t="s">
        <v>169</v>
      </c>
      <c r="G3" s="114"/>
      <c r="H3" s="114"/>
      <c r="I3" s="114"/>
    </row>
    <row r="4" spans="1:9" x14ac:dyDescent="0.25">
      <c r="A4" s="113"/>
      <c r="B4" s="117">
        <v>56815</v>
      </c>
      <c r="C4" s="118" t="s">
        <v>476</v>
      </c>
      <c r="D4" s="118" t="s">
        <v>477</v>
      </c>
      <c r="E4" s="119">
        <v>13836</v>
      </c>
      <c r="F4" s="119">
        <v>25</v>
      </c>
      <c r="G4" s="114"/>
      <c r="H4" s="114"/>
      <c r="I4" s="114"/>
    </row>
    <row r="5" spans="1:9" x14ac:dyDescent="0.25">
      <c r="A5" s="113"/>
      <c r="B5" s="117">
        <v>51186</v>
      </c>
      <c r="C5" s="118" t="s">
        <v>478</v>
      </c>
      <c r="D5" s="118" t="s">
        <v>479</v>
      </c>
      <c r="E5" s="119">
        <v>11771</v>
      </c>
      <c r="F5" s="119">
        <v>32</v>
      </c>
      <c r="G5" s="114"/>
      <c r="H5" s="114"/>
      <c r="I5" s="114"/>
    </row>
    <row r="6" spans="1:9" x14ac:dyDescent="0.25">
      <c r="A6" s="113"/>
      <c r="B6" s="117">
        <v>51511</v>
      </c>
      <c r="C6" s="118" t="s">
        <v>480</v>
      </c>
      <c r="D6" s="118" t="s">
        <v>481</v>
      </c>
      <c r="E6" s="119">
        <v>13046</v>
      </c>
      <c r="F6" s="119">
        <v>35</v>
      </c>
      <c r="G6" s="114"/>
      <c r="H6" s="114"/>
      <c r="I6" s="114"/>
    </row>
    <row r="7" spans="1:9" x14ac:dyDescent="0.25">
      <c r="A7" s="113"/>
      <c r="B7" s="117">
        <v>50890</v>
      </c>
      <c r="C7" s="118" t="s">
        <v>482</v>
      </c>
      <c r="D7" s="118" t="s">
        <v>483</v>
      </c>
      <c r="E7" s="119">
        <v>18276</v>
      </c>
      <c r="F7" s="119">
        <v>32</v>
      </c>
      <c r="G7" s="114"/>
      <c r="H7" s="114"/>
      <c r="I7" s="114"/>
    </row>
    <row r="8" spans="1:9" x14ac:dyDescent="0.25">
      <c r="A8" s="113"/>
      <c r="B8" s="117">
        <v>53700</v>
      </c>
      <c r="C8" s="118" t="s">
        <v>484</v>
      </c>
      <c r="D8" s="118" t="s">
        <v>485</v>
      </c>
      <c r="E8" s="119">
        <v>19327</v>
      </c>
      <c r="F8" s="119">
        <v>26</v>
      </c>
      <c r="G8" s="114"/>
      <c r="H8" s="114"/>
      <c r="I8" s="114"/>
    </row>
    <row r="9" spans="1:9" x14ac:dyDescent="0.25">
      <c r="A9" s="113"/>
      <c r="B9" s="117">
        <v>55879</v>
      </c>
      <c r="C9" s="118" t="s">
        <v>486</v>
      </c>
      <c r="D9" s="118" t="s">
        <v>487</v>
      </c>
      <c r="E9" s="119">
        <v>18996</v>
      </c>
      <c r="F9" s="119">
        <v>35</v>
      </c>
      <c r="G9" s="114"/>
      <c r="H9" s="114"/>
      <c r="I9" s="114"/>
    </row>
    <row r="10" spans="1:9" x14ac:dyDescent="0.25">
      <c r="A10" s="113"/>
      <c r="B10" s="117">
        <v>59848</v>
      </c>
      <c r="C10" s="118" t="s">
        <v>488</v>
      </c>
      <c r="D10" s="118" t="s">
        <v>481</v>
      </c>
      <c r="E10" s="119">
        <v>10387</v>
      </c>
      <c r="F10" s="119">
        <v>25</v>
      </c>
      <c r="G10" s="114"/>
      <c r="H10" s="114"/>
      <c r="I10" s="114"/>
    </row>
    <row r="11" spans="1:9" x14ac:dyDescent="0.25">
      <c r="A11" s="113"/>
      <c r="B11" s="117">
        <v>58369</v>
      </c>
      <c r="C11" s="118" t="s">
        <v>489</v>
      </c>
      <c r="D11" s="118" t="s">
        <v>487</v>
      </c>
      <c r="E11" s="119">
        <v>12566</v>
      </c>
      <c r="F11" s="119">
        <v>37</v>
      </c>
      <c r="G11" s="114"/>
      <c r="H11" s="114"/>
      <c r="I11" s="114"/>
    </row>
    <row r="12" spans="1:9" x14ac:dyDescent="0.25">
      <c r="A12" s="113"/>
      <c r="B12" s="117">
        <v>50217</v>
      </c>
      <c r="C12" s="118" t="s">
        <v>490</v>
      </c>
      <c r="D12" s="118" t="s">
        <v>491</v>
      </c>
      <c r="E12" s="119">
        <v>16406</v>
      </c>
      <c r="F12" s="119">
        <v>42</v>
      </c>
      <c r="G12" s="114"/>
      <c r="H12" s="114"/>
      <c r="I12" s="114"/>
    </row>
    <row r="13" spans="1:9" x14ac:dyDescent="0.25">
      <c r="A13" s="113"/>
      <c r="B13" s="117">
        <v>50695</v>
      </c>
      <c r="C13" s="118" t="s">
        <v>492</v>
      </c>
      <c r="D13" s="118" t="s">
        <v>483</v>
      </c>
      <c r="E13" s="119">
        <v>15784</v>
      </c>
      <c r="F13" s="119">
        <v>43</v>
      </c>
      <c r="G13" s="114"/>
      <c r="H13" s="114"/>
      <c r="I13" s="114"/>
    </row>
    <row r="14" spans="1:9" x14ac:dyDescent="0.25">
      <c r="A14" s="113"/>
      <c r="B14" s="117">
        <v>59673</v>
      </c>
      <c r="C14" s="118" t="s">
        <v>493</v>
      </c>
      <c r="D14" s="118" t="s">
        <v>477</v>
      </c>
      <c r="E14" s="119">
        <v>10959</v>
      </c>
      <c r="F14" s="119">
        <v>30</v>
      </c>
      <c r="G14" s="114"/>
      <c r="H14" s="114"/>
      <c r="I14" s="114"/>
    </row>
    <row r="15" spans="1:9" x14ac:dyDescent="0.25">
      <c r="A15" s="113"/>
      <c r="B15" s="117">
        <v>52130</v>
      </c>
      <c r="C15" s="118" t="s">
        <v>494</v>
      </c>
      <c r="D15" s="118" t="s">
        <v>495</v>
      </c>
      <c r="E15" s="119">
        <v>14562</v>
      </c>
      <c r="F15" s="119">
        <v>32</v>
      </c>
      <c r="G15" s="114"/>
      <c r="H15" s="114"/>
      <c r="I15" s="114"/>
    </row>
    <row r="16" spans="1:9" x14ac:dyDescent="0.25">
      <c r="A16" s="113"/>
      <c r="B16" s="114"/>
      <c r="C16" s="114"/>
      <c r="D16" s="114"/>
      <c r="E16" s="114"/>
      <c r="F16" s="114"/>
      <c r="G16" s="114"/>
      <c r="H16" s="114"/>
      <c r="I16" s="114"/>
    </row>
    <row r="17" spans="1:9" x14ac:dyDescent="0.25">
      <c r="A17" s="120">
        <v>1</v>
      </c>
      <c r="B17" s="114" t="s">
        <v>496</v>
      </c>
      <c r="E17" s="121" t="str">
        <f>VLOOKUP(B11,B4:C15,2,0)</f>
        <v>Thomas Davies</v>
      </c>
      <c r="F17" s="114"/>
      <c r="G17" s="114"/>
      <c r="H17" s="114"/>
      <c r="I17" s="114"/>
    </row>
    <row r="18" spans="1:9" x14ac:dyDescent="0.25">
      <c r="A18" s="113"/>
      <c r="B18" s="114"/>
      <c r="C18" s="114"/>
      <c r="D18" s="114"/>
      <c r="E18" s="114"/>
      <c r="F18" s="114"/>
      <c r="G18" s="114"/>
      <c r="H18" s="114"/>
      <c r="I18" s="114"/>
    </row>
    <row r="19" spans="1:9" x14ac:dyDescent="0.25">
      <c r="A19" s="120">
        <v>2</v>
      </c>
      <c r="B19" s="114" t="s">
        <v>497</v>
      </c>
      <c r="D19" s="114"/>
      <c r="E19" s="121">
        <f>VLOOKUP(C14,C4:F15,4,0)</f>
        <v>30</v>
      </c>
      <c r="F19" s="114"/>
      <c r="G19" s="114"/>
      <c r="H19" s="114"/>
      <c r="I19" s="114"/>
    </row>
    <row r="20" spans="1:9" x14ac:dyDescent="0.25">
      <c r="A20" s="113"/>
      <c r="B20" s="114"/>
      <c r="C20" s="114"/>
      <c r="D20" s="114"/>
      <c r="E20" s="114"/>
      <c r="F20" s="114"/>
      <c r="G20" s="114"/>
      <c r="H20" s="114"/>
      <c r="I20" s="114"/>
    </row>
    <row r="21" spans="1:9" x14ac:dyDescent="0.25">
      <c r="A21" s="120">
        <v>3</v>
      </c>
      <c r="B21" s="141" t="s">
        <v>498</v>
      </c>
      <c r="C21" s="140"/>
      <c r="D21" s="140"/>
      <c r="E21" s="114"/>
      <c r="F21" s="114"/>
      <c r="G21" s="114"/>
      <c r="H21" s="114"/>
      <c r="I21" s="114"/>
    </row>
    <row r="22" spans="1:9" x14ac:dyDescent="0.25">
      <c r="A22" s="113"/>
      <c r="B22" s="114"/>
      <c r="C22" s="114"/>
      <c r="D22" s="114"/>
      <c r="E22" s="114"/>
      <c r="F22" s="114"/>
      <c r="G22" s="114"/>
      <c r="H22" s="114"/>
      <c r="I22" s="114"/>
    </row>
    <row r="23" spans="1:9" x14ac:dyDescent="0.25">
      <c r="A23" s="113"/>
      <c r="B23" s="122" t="s">
        <v>119</v>
      </c>
      <c r="C23" s="123" t="s">
        <v>475</v>
      </c>
      <c r="D23" s="114"/>
      <c r="E23" s="114"/>
      <c r="F23" s="114"/>
      <c r="G23" s="114"/>
      <c r="H23" s="114"/>
      <c r="I23" s="114"/>
    </row>
    <row r="24" spans="1:9" x14ac:dyDescent="0.25">
      <c r="A24" s="113"/>
      <c r="B24" s="117">
        <v>55879</v>
      </c>
      <c r="C24" s="124" t="str">
        <f>VLOOKUP(B24,$B$4:$D$15,3,0)</f>
        <v>Capetown</v>
      </c>
      <c r="D24" s="114"/>
      <c r="E24" s="114"/>
      <c r="F24" s="114"/>
      <c r="G24" s="114"/>
      <c r="H24" s="114"/>
      <c r="I24" s="114"/>
    </row>
    <row r="25" spans="1:9" x14ac:dyDescent="0.25">
      <c r="A25" s="113"/>
      <c r="B25" s="117">
        <v>50217</v>
      </c>
      <c r="C25" s="124" t="str">
        <f t="shared" ref="C25:C26" si="0">VLOOKUP(B25,$B$4:$D$15,3,0)</f>
        <v>Warsaw</v>
      </c>
      <c r="D25" s="114"/>
      <c r="E25" s="114"/>
      <c r="F25" s="114"/>
      <c r="G25" s="114"/>
      <c r="H25" s="114"/>
      <c r="I25" s="114"/>
    </row>
    <row r="26" spans="1:9" x14ac:dyDescent="0.25">
      <c r="A26" s="113"/>
      <c r="B26" s="117">
        <v>50695</v>
      </c>
      <c r="C26" s="124" t="str">
        <f t="shared" si="0"/>
        <v>Cairo</v>
      </c>
      <c r="D26" s="114"/>
      <c r="E26" s="114"/>
      <c r="F26" s="114"/>
      <c r="G26" s="114"/>
      <c r="H26" s="114"/>
      <c r="I26" s="114"/>
    </row>
    <row r="27" spans="1:9" x14ac:dyDescent="0.25">
      <c r="A27" s="113"/>
      <c r="B27" s="114"/>
      <c r="C27" s="114"/>
      <c r="D27" s="114"/>
      <c r="E27" s="114"/>
      <c r="F27" s="114"/>
      <c r="G27" s="114"/>
      <c r="H27" s="114"/>
      <c r="I27" s="114"/>
    </row>
    <row r="28" spans="1:9" x14ac:dyDescent="0.25">
      <c r="A28" s="120">
        <v>4</v>
      </c>
      <c r="B28" s="141" t="s">
        <v>499</v>
      </c>
      <c r="C28" s="140"/>
      <c r="D28" s="140"/>
      <c r="E28" s="114"/>
      <c r="F28" s="114"/>
      <c r="G28" s="114"/>
      <c r="H28" s="114"/>
      <c r="I28" s="114"/>
    </row>
    <row r="29" spans="1:9" x14ac:dyDescent="0.25">
      <c r="A29" s="113"/>
      <c r="B29" s="114"/>
      <c r="C29" s="114"/>
      <c r="D29" s="114"/>
      <c r="E29" s="114"/>
      <c r="F29" s="114"/>
      <c r="G29" s="114"/>
      <c r="H29" s="114"/>
      <c r="I29" s="114"/>
    </row>
    <row r="30" spans="1:9" x14ac:dyDescent="0.25">
      <c r="A30" s="113"/>
      <c r="B30" s="122" t="s">
        <v>1</v>
      </c>
      <c r="C30" s="123" t="s">
        <v>136</v>
      </c>
      <c r="D30" s="114"/>
      <c r="E30" s="114"/>
      <c r="F30" s="114"/>
      <c r="G30" s="114"/>
      <c r="H30" s="114"/>
      <c r="I30" s="114"/>
    </row>
    <row r="31" spans="1:9" x14ac:dyDescent="0.25">
      <c r="A31" s="113"/>
      <c r="B31" s="125" t="s">
        <v>482</v>
      </c>
      <c r="C31" s="124">
        <f>_xlfn.IFNA(VLOOKUP(B31,C4:E15,3,0),"Not Found Detail")</f>
        <v>18276</v>
      </c>
      <c r="D31" s="114"/>
      <c r="E31" s="114"/>
      <c r="F31" s="114"/>
      <c r="G31" s="114"/>
      <c r="H31" s="114"/>
      <c r="I31" s="114"/>
    </row>
    <row r="32" spans="1:9" x14ac:dyDescent="0.25">
      <c r="A32" s="113"/>
      <c r="B32" s="125" t="s">
        <v>500</v>
      </c>
      <c r="C32" s="124" t="str">
        <f t="shared" ref="C32:C33" si="1">_xlfn.IFNA(VLOOKUP(B32,C5:E16,3,0),"Not Found Detail")</f>
        <v>Not Found Detail</v>
      </c>
      <c r="D32" s="114"/>
      <c r="E32" s="114"/>
      <c r="F32" s="114"/>
      <c r="G32" s="114"/>
      <c r="H32" s="114"/>
      <c r="I32" s="114"/>
    </row>
    <row r="33" spans="1:9" x14ac:dyDescent="0.25">
      <c r="A33" s="113"/>
      <c r="B33" s="125" t="s">
        <v>493</v>
      </c>
      <c r="C33" s="124">
        <f t="shared" si="1"/>
        <v>10959</v>
      </c>
      <c r="D33" s="114"/>
      <c r="E33" s="114"/>
      <c r="F33" s="114"/>
      <c r="G33" s="114"/>
      <c r="H33" s="114"/>
      <c r="I33" s="114"/>
    </row>
    <row r="34" spans="1:9" x14ac:dyDescent="0.25">
      <c r="A34" s="113"/>
      <c r="B34" s="114"/>
      <c r="C34" s="114"/>
      <c r="D34" s="114"/>
      <c r="E34" s="114"/>
      <c r="F34" s="114"/>
      <c r="G34" s="114"/>
      <c r="H34" s="114"/>
      <c r="I34" s="114"/>
    </row>
    <row r="35" spans="1:9" x14ac:dyDescent="0.25">
      <c r="A35" s="113"/>
      <c r="B35" s="114"/>
      <c r="C35" s="114"/>
      <c r="D35" s="114"/>
      <c r="E35" s="114"/>
      <c r="F35" s="114"/>
      <c r="G35" s="114"/>
      <c r="H35" s="114"/>
      <c r="I35" s="114"/>
    </row>
    <row r="36" spans="1:9" x14ac:dyDescent="0.25">
      <c r="A36" s="113"/>
      <c r="B36" s="114"/>
      <c r="C36" s="114"/>
      <c r="D36" s="114"/>
      <c r="E36" s="114"/>
      <c r="F36" s="114"/>
      <c r="G36" s="114"/>
      <c r="H36" s="114"/>
      <c r="I36" s="114"/>
    </row>
    <row r="37" spans="1:9" x14ac:dyDescent="0.25">
      <c r="A37" s="113"/>
      <c r="B37" s="114"/>
      <c r="C37" s="114"/>
      <c r="D37" s="114"/>
      <c r="E37" s="114"/>
      <c r="F37" s="114"/>
      <c r="G37" s="114"/>
      <c r="H37" s="114"/>
      <c r="I37" s="114"/>
    </row>
  </sheetData>
  <mergeCells count="3">
    <mergeCell ref="B1:E1"/>
    <mergeCell ref="B21:D21"/>
    <mergeCell ref="B28:D28"/>
  </mergeCells>
  <pageMargins left="0.7" right="0.7" top="0.75" bottom="0.75" header="0.3" footer="0.3"/>
  <ignoredErrors>
    <ignoredError sqref="E17:E19 C24:C26 C31:C33" unlockedFormula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K49"/>
  <sheetViews>
    <sheetView workbookViewId="0">
      <selection activeCell="C41" sqref="C41"/>
    </sheetView>
  </sheetViews>
  <sheetFormatPr defaultColWidth="8.7109375" defaultRowHeight="12.75" outlineLevelRow="1" x14ac:dyDescent="0.2"/>
  <cols>
    <col min="1" max="1" width="2.5703125" style="126" bestFit="1" customWidth="1"/>
    <col min="2" max="2" width="15.7109375" style="126" bestFit="1" customWidth="1"/>
    <col min="3" max="3" width="12.28515625" style="126" bestFit="1" customWidth="1"/>
    <col min="4" max="4" width="8.42578125" style="126" bestFit="1" customWidth="1"/>
    <col min="5" max="5" width="11.42578125" style="126" bestFit="1" customWidth="1"/>
    <col min="6" max="16384" width="8.7109375" style="126"/>
  </cols>
  <sheetData>
    <row r="1" spans="2:7" x14ac:dyDescent="0.2">
      <c r="B1" s="103" t="s">
        <v>501</v>
      </c>
    </row>
    <row r="2" spans="2:7" x14ac:dyDescent="0.2">
      <c r="B2" s="127" t="s">
        <v>1</v>
      </c>
      <c r="C2" s="127" t="s">
        <v>169</v>
      </c>
      <c r="D2" s="127" t="s">
        <v>502</v>
      </c>
      <c r="E2" s="127" t="s">
        <v>503</v>
      </c>
    </row>
    <row r="3" spans="2:7" x14ac:dyDescent="0.2">
      <c r="B3" s="128" t="s">
        <v>504</v>
      </c>
      <c r="C3" s="128">
        <v>35</v>
      </c>
      <c r="D3" s="128" t="s">
        <v>505</v>
      </c>
      <c r="E3" s="128" t="s">
        <v>506</v>
      </c>
    </row>
    <row r="4" spans="2:7" x14ac:dyDescent="0.2">
      <c r="B4" s="128" t="s">
        <v>507</v>
      </c>
      <c r="C4" s="128">
        <v>42</v>
      </c>
      <c r="D4" s="128" t="s">
        <v>508</v>
      </c>
      <c r="E4" s="128" t="s">
        <v>509</v>
      </c>
    </row>
    <row r="5" spans="2:7" x14ac:dyDescent="0.2">
      <c r="B5" s="128" t="s">
        <v>123</v>
      </c>
      <c r="C5" s="128">
        <v>28</v>
      </c>
      <c r="D5" s="128" t="s">
        <v>505</v>
      </c>
      <c r="E5" s="128" t="s">
        <v>510</v>
      </c>
    </row>
    <row r="6" spans="2:7" x14ac:dyDescent="0.2">
      <c r="B6" s="128" t="s">
        <v>511</v>
      </c>
      <c r="C6" s="128">
        <v>25</v>
      </c>
      <c r="D6" s="128" t="s">
        <v>508</v>
      </c>
      <c r="E6" s="128" t="s">
        <v>132</v>
      </c>
    </row>
    <row r="7" spans="2:7" x14ac:dyDescent="0.2">
      <c r="B7" s="128" t="s">
        <v>512</v>
      </c>
      <c r="C7" s="128">
        <v>31</v>
      </c>
      <c r="D7" s="128" t="s">
        <v>505</v>
      </c>
      <c r="E7" s="128" t="s">
        <v>133</v>
      </c>
    </row>
    <row r="8" spans="2:7" x14ac:dyDescent="0.2">
      <c r="B8" s="128" t="s">
        <v>513</v>
      </c>
      <c r="C8" s="128">
        <v>27</v>
      </c>
      <c r="D8" s="128" t="s">
        <v>508</v>
      </c>
      <c r="E8" s="128" t="s">
        <v>514</v>
      </c>
    </row>
    <row r="9" spans="2:7" x14ac:dyDescent="0.2">
      <c r="B9" s="128" t="s">
        <v>515</v>
      </c>
      <c r="C9" s="128">
        <v>38</v>
      </c>
      <c r="D9" s="128" t="s">
        <v>505</v>
      </c>
      <c r="E9" s="128" t="s">
        <v>516</v>
      </c>
    </row>
    <row r="10" spans="2:7" x14ac:dyDescent="0.2">
      <c r="B10" s="128" t="s">
        <v>517</v>
      </c>
      <c r="C10" s="128">
        <v>29</v>
      </c>
      <c r="D10" s="128" t="s">
        <v>508</v>
      </c>
      <c r="E10" s="128" t="s">
        <v>518</v>
      </c>
    </row>
    <row r="11" spans="2:7" x14ac:dyDescent="0.2">
      <c r="B11" s="128" t="s">
        <v>519</v>
      </c>
      <c r="C11" s="128">
        <v>45</v>
      </c>
      <c r="D11" s="128" t="s">
        <v>505</v>
      </c>
      <c r="E11" s="128" t="s">
        <v>520</v>
      </c>
    </row>
    <row r="12" spans="2:7" x14ac:dyDescent="0.2">
      <c r="B12" s="128" t="s">
        <v>521</v>
      </c>
      <c r="C12" s="128">
        <v>33</v>
      </c>
      <c r="D12" s="128" t="s">
        <v>508</v>
      </c>
      <c r="E12" s="128" t="s">
        <v>522</v>
      </c>
    </row>
    <row r="15" spans="2:7" x14ac:dyDescent="0.2">
      <c r="B15" s="129" t="s">
        <v>453</v>
      </c>
    </row>
    <row r="16" spans="2:7" x14ac:dyDescent="0.2">
      <c r="G16" s="126" t="s">
        <v>523</v>
      </c>
    </row>
    <row r="17" spans="1:11" x14ac:dyDescent="0.2">
      <c r="A17" s="126">
        <v>1</v>
      </c>
      <c r="B17" s="126" t="s">
        <v>524</v>
      </c>
    </row>
    <row r="18" spans="1:11" x14ac:dyDescent="0.2">
      <c r="C18" s="102" t="s">
        <v>456</v>
      </c>
      <c r="D18" s="102"/>
    </row>
    <row r="19" spans="1:11" x14ac:dyDescent="0.2">
      <c r="B19" s="103" t="s">
        <v>140</v>
      </c>
      <c r="C19" s="104" t="str">
        <f>VLOOKUP(B4,B3:E12,4,0)</f>
        <v>Data Scientist</v>
      </c>
    </row>
    <row r="20" spans="1:11" hidden="1" outlineLevel="1" x14ac:dyDescent="0.2">
      <c r="B20" s="142"/>
      <c r="C20" s="142"/>
      <c r="D20" s="142"/>
      <c r="E20" s="142"/>
      <c r="F20" s="142"/>
      <c r="G20" s="142"/>
      <c r="H20" s="142"/>
      <c r="I20" s="142"/>
      <c r="J20" s="142"/>
      <c r="K20" s="142"/>
    </row>
    <row r="21" spans="1:11" hidden="1" outlineLevel="1" x14ac:dyDescent="0.2">
      <c r="B21" s="142"/>
      <c r="C21" s="142"/>
      <c r="D21" s="142"/>
      <c r="E21" s="142"/>
      <c r="F21" s="142"/>
      <c r="G21" s="142"/>
      <c r="H21" s="142"/>
      <c r="I21" s="142"/>
      <c r="J21" s="142"/>
      <c r="K21" s="142"/>
    </row>
    <row r="22" spans="1:11" hidden="1" outlineLevel="1" x14ac:dyDescent="0.2">
      <c r="B22" s="142"/>
      <c r="C22" s="142"/>
      <c r="D22" s="142"/>
      <c r="E22" s="142"/>
      <c r="F22" s="142"/>
      <c r="G22" s="142"/>
      <c r="H22" s="142"/>
      <c r="I22" s="142"/>
      <c r="J22" s="142"/>
      <c r="K22" s="142"/>
    </row>
    <row r="23" spans="1:11" hidden="1" outlineLevel="1" x14ac:dyDescent="0.2">
      <c r="B23" s="142"/>
      <c r="C23" s="142"/>
      <c r="D23" s="142"/>
      <c r="E23" s="142"/>
      <c r="F23" s="142"/>
      <c r="G23" s="142"/>
      <c r="H23" s="142"/>
      <c r="I23" s="142"/>
      <c r="J23" s="142"/>
      <c r="K23" s="142"/>
    </row>
    <row r="24" spans="1:11" hidden="1" outlineLevel="1" x14ac:dyDescent="0.2">
      <c r="B24" s="142"/>
      <c r="C24" s="142"/>
      <c r="D24" s="142"/>
      <c r="E24" s="142"/>
      <c r="F24" s="142"/>
      <c r="G24" s="142"/>
      <c r="H24" s="142"/>
      <c r="I24" s="142"/>
      <c r="J24" s="142"/>
      <c r="K24" s="142"/>
    </row>
    <row r="25" spans="1:11" hidden="1" outlineLevel="1" x14ac:dyDescent="0.2">
      <c r="B25" s="142"/>
      <c r="C25" s="142"/>
      <c r="D25" s="142"/>
      <c r="E25" s="142"/>
      <c r="F25" s="142"/>
      <c r="G25" s="142"/>
      <c r="H25" s="142"/>
      <c r="I25" s="142"/>
      <c r="J25" s="142"/>
      <c r="K25" s="142"/>
    </row>
    <row r="26" spans="1:11" hidden="1" outlineLevel="1" x14ac:dyDescent="0.2">
      <c r="B26" s="142"/>
      <c r="C26" s="142"/>
      <c r="D26" s="142"/>
      <c r="E26" s="142"/>
      <c r="F26" s="142"/>
      <c r="G26" s="142"/>
      <c r="H26" s="142"/>
      <c r="I26" s="142"/>
      <c r="J26" s="142"/>
      <c r="K26" s="142"/>
    </row>
    <row r="27" spans="1:11" collapsed="1" x14ac:dyDescent="0.2"/>
    <row r="28" spans="1:11" x14ac:dyDescent="0.2">
      <c r="A28" s="126">
        <v>2</v>
      </c>
      <c r="B28" s="126" t="s">
        <v>525</v>
      </c>
    </row>
    <row r="29" spans="1:11" x14ac:dyDescent="0.2">
      <c r="C29" s="102" t="s">
        <v>456</v>
      </c>
      <c r="D29" s="102"/>
    </row>
    <row r="30" spans="1:11" x14ac:dyDescent="0.2">
      <c r="B30" s="103" t="s">
        <v>140</v>
      </c>
      <c r="C30" s="104">
        <f>VLOOKUP(B11,B3:C12,2,0)</f>
        <v>45</v>
      </c>
    </row>
    <row r="31" spans="1:11" hidden="1" outlineLevel="1" x14ac:dyDescent="0.2">
      <c r="B31" s="142"/>
      <c r="C31" s="142"/>
      <c r="D31" s="142"/>
      <c r="E31" s="142"/>
      <c r="F31" s="142"/>
      <c r="G31" s="142"/>
      <c r="H31" s="142"/>
      <c r="I31" s="142"/>
      <c r="J31" s="142"/>
      <c r="K31" s="142"/>
    </row>
    <row r="32" spans="1:11" hidden="1" outlineLevel="1" x14ac:dyDescent="0.2">
      <c r="B32" s="142"/>
      <c r="C32" s="142"/>
      <c r="D32" s="142"/>
      <c r="E32" s="142"/>
      <c r="F32" s="142"/>
      <c r="G32" s="142"/>
      <c r="H32" s="142"/>
      <c r="I32" s="142"/>
      <c r="J32" s="142"/>
      <c r="K32" s="142"/>
    </row>
    <row r="33" spans="1:11" hidden="1" outlineLevel="1" x14ac:dyDescent="0.2">
      <c r="B33" s="142"/>
      <c r="C33" s="142"/>
      <c r="D33" s="142"/>
      <c r="E33" s="142"/>
      <c r="F33" s="142"/>
      <c r="G33" s="142"/>
      <c r="H33" s="142"/>
      <c r="I33" s="142"/>
      <c r="J33" s="142"/>
      <c r="K33" s="142"/>
    </row>
    <row r="34" spans="1:11" hidden="1" outlineLevel="1" x14ac:dyDescent="0.2">
      <c r="B34" s="142"/>
      <c r="C34" s="142"/>
      <c r="D34" s="142"/>
      <c r="E34" s="142"/>
      <c r="F34" s="142"/>
      <c r="G34" s="142"/>
      <c r="H34" s="142"/>
      <c r="I34" s="142"/>
      <c r="J34" s="142"/>
      <c r="K34" s="142"/>
    </row>
    <row r="35" spans="1:11" hidden="1" outlineLevel="1" x14ac:dyDescent="0.2">
      <c r="B35" s="142"/>
      <c r="C35" s="142"/>
      <c r="D35" s="142"/>
      <c r="E35" s="142"/>
      <c r="F35" s="142"/>
      <c r="G35" s="142"/>
      <c r="H35" s="142"/>
      <c r="I35" s="142"/>
      <c r="J35" s="142"/>
      <c r="K35" s="142"/>
    </row>
    <row r="36" spans="1:11" hidden="1" outlineLevel="1" x14ac:dyDescent="0.2">
      <c r="B36" s="142"/>
      <c r="C36" s="142"/>
      <c r="D36" s="142"/>
      <c r="E36" s="142"/>
      <c r="F36" s="142"/>
      <c r="G36" s="142"/>
      <c r="H36" s="142"/>
      <c r="I36" s="142"/>
      <c r="J36" s="142"/>
      <c r="K36" s="142"/>
    </row>
    <row r="37" spans="1:11" hidden="1" outlineLevel="1" x14ac:dyDescent="0.2">
      <c r="B37" s="142"/>
      <c r="C37" s="142"/>
      <c r="D37" s="142"/>
      <c r="E37" s="142"/>
      <c r="F37" s="142"/>
      <c r="G37" s="142"/>
      <c r="H37" s="142"/>
      <c r="I37" s="142"/>
      <c r="J37" s="142"/>
      <c r="K37" s="142"/>
    </row>
    <row r="38" spans="1:11" collapsed="1" x14ac:dyDescent="0.2"/>
    <row r="39" spans="1:11" x14ac:dyDescent="0.2">
      <c r="A39" s="126">
        <v>2</v>
      </c>
      <c r="B39" s="126" t="s">
        <v>526</v>
      </c>
    </row>
    <row r="40" spans="1:11" x14ac:dyDescent="0.2">
      <c r="C40" s="102" t="s">
        <v>456</v>
      </c>
      <c r="D40" s="102"/>
    </row>
    <row r="41" spans="1:11" x14ac:dyDescent="0.2">
      <c r="B41" s="103" t="s">
        <v>140</v>
      </c>
      <c r="C41" s="104" t="str">
        <f>VLOOKUP("B*",B3:E12,4,0)</f>
        <v>Accountant</v>
      </c>
    </row>
    <row r="42" spans="1:11" hidden="1" outlineLevel="1" x14ac:dyDescent="0.2">
      <c r="B42" s="142"/>
      <c r="C42" s="142"/>
      <c r="D42" s="142"/>
      <c r="E42" s="142"/>
      <c r="F42" s="142"/>
      <c r="G42" s="142"/>
      <c r="H42" s="142"/>
      <c r="I42" s="142"/>
      <c r="J42" s="142"/>
      <c r="K42" s="142"/>
    </row>
    <row r="43" spans="1:11" hidden="1" outlineLevel="1" x14ac:dyDescent="0.2">
      <c r="B43" s="142"/>
      <c r="C43" s="142"/>
      <c r="D43" s="142"/>
      <c r="E43" s="142"/>
      <c r="F43" s="142"/>
      <c r="G43" s="142"/>
      <c r="H43" s="142"/>
      <c r="I43" s="142"/>
      <c r="J43" s="142"/>
      <c r="K43" s="142"/>
    </row>
    <row r="44" spans="1:11" hidden="1" outlineLevel="1" x14ac:dyDescent="0.2">
      <c r="B44" s="142"/>
      <c r="C44" s="142"/>
      <c r="D44" s="142"/>
      <c r="E44" s="142"/>
      <c r="F44" s="142"/>
      <c r="G44" s="142"/>
      <c r="H44" s="142"/>
      <c r="I44" s="142"/>
      <c r="J44" s="142"/>
      <c r="K44" s="142"/>
    </row>
    <row r="45" spans="1:11" hidden="1" outlineLevel="1" x14ac:dyDescent="0.2">
      <c r="B45" s="142"/>
      <c r="C45" s="142"/>
      <c r="D45" s="142"/>
      <c r="E45" s="142"/>
      <c r="F45" s="142"/>
      <c r="G45" s="142"/>
      <c r="H45" s="142"/>
      <c r="I45" s="142"/>
      <c r="J45" s="142"/>
      <c r="K45" s="142"/>
    </row>
    <row r="46" spans="1:11" hidden="1" outlineLevel="1" x14ac:dyDescent="0.2">
      <c r="B46" s="142"/>
      <c r="C46" s="142"/>
      <c r="D46" s="142"/>
      <c r="E46" s="142"/>
      <c r="F46" s="142"/>
      <c r="G46" s="142"/>
      <c r="H46" s="142"/>
      <c r="I46" s="142"/>
      <c r="J46" s="142"/>
      <c r="K46" s="142"/>
    </row>
    <row r="47" spans="1:11" hidden="1" outlineLevel="1" x14ac:dyDescent="0.2">
      <c r="B47" s="142"/>
      <c r="C47" s="142"/>
      <c r="D47" s="142"/>
      <c r="E47" s="142"/>
      <c r="F47" s="142"/>
      <c r="G47" s="142"/>
      <c r="H47" s="142"/>
      <c r="I47" s="142"/>
      <c r="J47" s="142"/>
      <c r="K47" s="142"/>
    </row>
    <row r="48" spans="1:11" hidden="1" outlineLevel="1" x14ac:dyDescent="0.2">
      <c r="B48" s="142"/>
      <c r="C48" s="142"/>
      <c r="D48" s="142"/>
      <c r="E48" s="142"/>
      <c r="F48" s="142"/>
      <c r="G48" s="142"/>
      <c r="H48" s="142"/>
      <c r="I48" s="142"/>
      <c r="J48" s="142"/>
      <c r="K48" s="142"/>
    </row>
    <row r="49" collapsed="1" x14ac:dyDescent="0.2"/>
  </sheetData>
  <mergeCells count="3">
    <mergeCell ref="B20:K26"/>
    <mergeCell ref="B31:K37"/>
    <mergeCell ref="B42:K4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AVERAGE 1 - Question</vt:lpstr>
      <vt:lpstr>AVERAGE 3 - Question</vt:lpstr>
      <vt:lpstr>COUNT 1 - Question</vt:lpstr>
      <vt:lpstr>COUNT 2 - Question</vt:lpstr>
      <vt:lpstr>COUNT 3 - Question</vt:lpstr>
      <vt:lpstr>MAX MIN 1 - Question</vt:lpstr>
      <vt:lpstr>MAX MIN 2 - Question</vt:lpstr>
      <vt:lpstr>MAX MIN 3 - Question</vt:lpstr>
      <vt:lpstr>HLOOKUP - Question</vt:lpstr>
      <vt:lpstr>IF 1 - Question</vt:lpstr>
      <vt:lpstr>IF 2 - Question</vt:lpstr>
      <vt:lpstr>IF 3 - Question</vt:lpstr>
      <vt:lpstr>IF 4 - Question</vt:lpstr>
      <vt:lpstr>MATH 1 - Question</vt:lpstr>
      <vt:lpstr>SUM 1 - Question</vt:lpstr>
      <vt:lpstr>SUM 2 - Question</vt:lpstr>
      <vt:lpstr>SUM 3 - Question</vt:lpstr>
      <vt:lpstr>SUMIF 1 - Question</vt:lpstr>
      <vt:lpstr>SUMIF2 Questions</vt:lpstr>
      <vt:lpstr>Nested IF 1 - Question</vt:lpstr>
      <vt:lpstr>VLOOKUP-Approximate Match</vt:lpstr>
      <vt:lpstr>VLOOKUP 1 - Question</vt:lpstr>
      <vt:lpstr>VLOOUP 2A Questions</vt:lpstr>
      <vt:lpstr>Sheet11</vt:lpstr>
      <vt:lpstr>Sheet12</vt:lpstr>
      <vt:lpstr>Sheet13</vt:lpstr>
      <vt:lpstr>Sheet14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Windows User</cp:lastModifiedBy>
  <cp:revision/>
  <dcterms:created xsi:type="dcterms:W3CDTF">2021-05-15T17:54:01Z</dcterms:created>
  <dcterms:modified xsi:type="dcterms:W3CDTF">2024-11-17T09:12:44Z</dcterms:modified>
  <cp:category/>
  <cp:contentStatus/>
</cp:coreProperties>
</file>