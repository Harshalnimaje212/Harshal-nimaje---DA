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E5135BC2-8719-47C9-B7FB-A67A9F3BC856}" xr6:coauthVersionLast="47" xr6:coauthVersionMax="47" xr10:uidLastSave="{00000000-0000-0000-0000-000000000000}"/>
  <bookViews>
    <workbookView xWindow="-120" yWindow="-120" windowWidth="20730" windowHeight="11160" activeTab="2" xr2:uid="{2F9D13F7-B300-4876-B1D0-62901B0A91F6}"/>
  </bookViews>
  <sheets>
    <sheet name="DATA" sheetId="3" r:id="rId1"/>
    <sheet name="PIVOT" sheetId="4" r:id="rId2"/>
    <sheet name="Sheet2" sheetId="1" r:id="rId3"/>
  </sheets>
  <definedNames>
    <definedName name="ExternalData_1" localSheetId="0" hidden="1">DATA!$A$1:$I$48</definedName>
    <definedName name="ExternalData_1" localSheetId="1" hidden="1">PIVOT!$A$1:$A$26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7EC34-715B-431F-AEA8-B29D967643C2}" keepAlive="1" name="Query - New Sheet(2)" description="Connection to the 'New Sheet(2)' query in the workbook." type="5" refreshedVersion="7" background="1" saveData="1">
    <dbPr connection="Provider=Microsoft.Mashup.OleDb.1;Data Source=$Workbook$;Location=&quot;New Sheet(2)&quot;;Extended Properties=&quot;&quot;" command="SELECT * FROM [New Sheet(2)]"/>
  </connection>
  <connection id="2" xr16:uid="{AE5517E3-3D03-4C1B-8EFC-18AE0B35942A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<sst xmlns="http://schemas.openxmlformats.org/spreadsheetml/2006/main" count="734" uniqueCount="142">
  <si>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</si>
  <si>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</si>
  <si>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</si>
  <si>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</si>
  <si>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</si>
  <si>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</si>
  <si>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</si>
  <si>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</si>
  <si>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</si>
  <si>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2/14/2011</t>
  </si>
  <si>
    <t>XY Solutions</t>
  </si>
  <si>
    <t>S77782</t>
  </si>
  <si>
    <t>Opening Balance</t>
  </si>
  <si>
    <t>5,100.00</t>
  </si>
  <si>
    <t>A</t>
  </si>
  <si>
    <t>B1</t>
  </si>
  <si>
    <t>BS-500</t>
  </si>
  <si>
    <t>3/2/2011</t>
  </si>
  <si>
    <t>3/1/2011</t>
  </si>
  <si>
    <t>IS Communications</t>
  </si>
  <si>
    <t>Invoice EXP22</t>
  </si>
  <si>
    <t>Internet Service Provider</t>
  </si>
  <si>
    <t>179.00</t>
  </si>
  <si>
    <t>IS-380</t>
  </si>
  <si>
    <t>3/31/2011</t>
  </si>
  <si>
    <t>Newscorp</t>
  </si>
  <si>
    <t>1381119</t>
  </si>
  <si>
    <t>Subscriptions</t>
  </si>
  <si>
    <t>478.00</t>
  </si>
  <si>
    <t>IS-375</t>
  </si>
  <si>
    <t>4/1/2011</t>
  </si>
  <si>
    <t>3/5/2011</t>
  </si>
  <si>
    <t>EAG Brokers</t>
  </si>
  <si>
    <t>Debit Order</t>
  </si>
  <si>
    <t>Insurance</t>
  </si>
  <si>
    <t>340.00</t>
  </si>
  <si>
    <t>IS-340</t>
  </si>
  <si>
    <t>3/15/2011</t>
  </si>
  <si>
    <t>Capital Bank</t>
  </si>
  <si>
    <t>Bank Statement</t>
  </si>
  <si>
    <t>Service Fees</t>
  </si>
  <si>
    <t>50.00</t>
  </si>
  <si>
    <t>IS-315</t>
  </si>
  <si>
    <t>35.00</t>
  </si>
  <si>
    <t>B2</t>
  </si>
  <si>
    <t>IAS Accountants</t>
  </si>
  <si>
    <t>Invoice</t>
  </si>
  <si>
    <t>Bookkeeping</t>
  </si>
  <si>
    <t>1,000.00</t>
  </si>
  <si>
    <t>IS-305</t>
  </si>
  <si>
    <t>4/2/2011</t>
  </si>
  <si>
    <t>Interflora</t>
  </si>
  <si>
    <t>Cash</t>
  </si>
  <si>
    <t>Flowers</t>
  </si>
  <si>
    <t>90.00</t>
  </si>
  <si>
    <t>PC</t>
  </si>
  <si>
    <t>IS-345</t>
  </si>
  <si>
    <t>3/18/2011</t>
  </si>
  <si>
    <t>QQ International</t>
  </si>
  <si>
    <t>TR6998</t>
  </si>
  <si>
    <t>Parking</t>
  </si>
  <si>
    <t>200.00</t>
  </si>
  <si>
    <t>IS-390</t>
  </si>
  <si>
    <t>3/20/2011</t>
  </si>
  <si>
    <t>Example (Pty) Ltd</t>
  </si>
  <si>
    <t>Transfer</t>
  </si>
  <si>
    <t>Inter Account Transfer</t>
  </si>
  <si>
    <t>-15,000.00</t>
  </si>
  <si>
    <t>E</t>
  </si>
  <si>
    <t>BS-399</t>
  </si>
  <si>
    <t>15,000.00</t>
  </si>
  <si>
    <t>3/26/2011</t>
  </si>
  <si>
    <t>Payroll</t>
  </si>
  <si>
    <t>Salaries</t>
  </si>
  <si>
    <t>13,000.00</t>
  </si>
  <si>
    <t>IS-365</t>
  </si>
  <si>
    <t>HP Finance</t>
  </si>
  <si>
    <t>Capital repayment</t>
  </si>
  <si>
    <t>220.00</t>
  </si>
  <si>
    <t>BS-700</t>
  </si>
  <si>
    <t>Interest paid</t>
  </si>
  <si>
    <t>100.00</t>
  </si>
  <si>
    <t>IS-500</t>
  </si>
  <si>
    <t>PR Properties</t>
  </si>
  <si>
    <t>Rent</t>
  </si>
  <si>
    <t>6,400.00</t>
  </si>
  <si>
    <t>IS-350</t>
  </si>
  <si>
    <t>Petty Cash Reimbursement</t>
  </si>
  <si>
    <t>-100.00</t>
  </si>
  <si>
    <t>Invoice EXP23</t>
  </si>
  <si>
    <t>5/1/2011</t>
  </si>
  <si>
    <t>4/5/2011</t>
  </si>
  <si>
    <t>4/12/2011</t>
  </si>
  <si>
    <t>87.00</t>
  </si>
  <si>
    <t>4/15/2011</t>
  </si>
  <si>
    <t>80.00</t>
  </si>
  <si>
    <t>5/3/2011</t>
  </si>
  <si>
    <t>4/20/2011</t>
  </si>
  <si>
    <t>-20,000.00</t>
  </si>
  <si>
    <t>20,000.00</t>
  </si>
  <si>
    <t>4/25/2011</t>
  </si>
  <si>
    <t>Inland Revenue</t>
  </si>
  <si>
    <t>Return</t>
  </si>
  <si>
    <t>Sales Tax</t>
  </si>
  <si>
    <t>1,300.00</t>
  </si>
  <si>
    <t>BS-600</t>
  </si>
  <si>
    <t>4/26/2011</t>
  </si>
  <si>
    <t>Furniture City</t>
  </si>
  <si>
    <t>Furniture</t>
  </si>
  <si>
    <t>3,000.00</t>
  </si>
  <si>
    <t>BS-100</t>
  </si>
  <si>
    <t>5/26/2011</t>
  </si>
  <si>
    <t>4/29/2011</t>
  </si>
  <si>
    <t>GF Supplies</t>
  </si>
  <si>
    <t>IN1179</t>
  </si>
  <si>
    <t>Consumables</t>
  </si>
  <si>
    <t>41.00</t>
  </si>
  <si>
    <t>IS-325</t>
  </si>
  <si>
    <t>5/29/2011</t>
  </si>
  <si>
    <t>4/30/2011</t>
  </si>
  <si>
    <t>Invoice EXP24</t>
  </si>
  <si>
    <t>5/31/2011</t>
  </si>
  <si>
    <t>Training Inc</t>
  </si>
  <si>
    <t>Course</t>
  </si>
  <si>
    <t>IS-385</t>
  </si>
  <si>
    <t>5/5/2011</t>
  </si>
  <si>
    <t>5/7/2011</t>
  </si>
  <si>
    <t>City Lodge</t>
  </si>
  <si>
    <t>S50037</t>
  </si>
  <si>
    <t>Accommodation</t>
  </si>
  <si>
    <t>563.00</t>
  </si>
  <si>
    <t>Waltons</t>
  </si>
  <si>
    <t>Stationery</t>
  </si>
  <si>
    <t>982.00</t>
  </si>
  <si>
    <t>IS-370</t>
  </si>
  <si>
    <t>6/6/2011</t>
  </si>
  <si>
    <t>5/15/2011</t>
  </si>
  <si>
    <t>6/2/2011</t>
  </si>
  <si>
    <t>5/20/2011</t>
  </si>
  <si>
    <t>Sum of Tax Inclusive Amount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</si>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</sst>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right" textRotation="0" indent="0" justifyLastLine="0" shrinkToFit="0" readingOrder="0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612.438461458332" createdVersion="7" refreshedVersion="7" minRefreshableVersion="3" recordCount="47" xr:uid="{C24CB53E-22A0-49E1-80A0-5B82C15234D8}">
  <cacheSource type="worksheet">
    <worksheetSource ref="A3:I50" sheet="Sheet2"/>
  </cacheSource>
  <cacheFields count="9">
    <cacheField name="Document Date" numFmtId="0">
      <sharedItems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0">
      <sharedItems count="25">
        <s v="5,100.00"/>
        <s v="179.00"/>
        <s v="478.00"/>
        <s v="340.00"/>
        <s v="50.00"/>
        <s v="35.00"/>
        <s v="1,000.00"/>
        <s v="90.00"/>
        <s v="200.00"/>
        <s v="-15,000.00"/>
        <s v="15,000.00"/>
        <s v="13,000.00"/>
        <s v="220.00"/>
        <s v="100.00"/>
        <s v="6,400.00"/>
        <s v="-100.00"/>
        <s v="87.00"/>
        <s v="80.00"/>
        <s v="-20,000.00"/>
        <s v="20,000.00"/>
        <s v="1,300.00"/>
        <s v="3,000.00"/>
        <s v="41.00"/>
        <s v="563.00"/>
        <s v="982.00"/>
      </sharedItems>
    </cacheField>
    <cacheField name="Tax Code" numFmtId="0">
      <sharedItems count="2">
        <s v="A"/>
        <s v="E"/>
      </sharedItems>
    </cacheField>
    <cacheField name="Bank Code" numFmtId="0">
      <sharedItems/>
    </cacheField>
    <cacheField name="Account 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612.445980902776" createdVersion="7" refreshedVersion="7" minRefreshableVersion="3" recordCount="47" xr:uid="{739B02FB-4DD5-4F85-A2CB-BA44BA29AE82}">
  <cacheSource type="worksheet">
    <worksheetSource ref="A1:I48" sheet="DATA"/>
  </cacheSource>
  <cacheFields count="9">
    <cacheField name="Document Date" numFmtId="14">
      <sharedItems containsSemiMixedTypes="0" containsNonDate="0" containsDate="1" containsString="0" minDate="2011-02-14T00:00:00" maxDate="2011-05-27T00:00:00" count="24">
        <d v="2011-02-14T00:00:00"/>
        <d v="2011-03-01T00:00:00"/>
        <d v="2011-03-02T00:00:00"/>
        <d v="2011-03-05T00:00:00"/>
        <d v="2011-03-15T00:00:00"/>
        <d v="2011-03-18T00:00:00"/>
        <d v="2011-03-20T00:00:00"/>
        <d v="2011-03-26T00:00:00"/>
        <d v="2011-03-31T00:00:00"/>
        <d v="2011-04-01T00:00:00"/>
        <d v="2011-04-05T00:00:00"/>
        <d v="2011-04-12T00:00:00"/>
        <d v="2011-04-15T00:00:00"/>
        <d v="2011-04-20T00:00:00"/>
        <d v="2011-04-25T00:00:00"/>
        <d v="2011-04-26T00:00:00"/>
        <d v="2011-04-29T00:00:00"/>
        <d v="2011-04-30T00:00:00"/>
        <d v="2011-05-01T00:00:00"/>
        <d v="2011-05-05T00:00:00"/>
        <d v="2011-05-07T00:00:00"/>
        <d v="2011-05-15T00:00:00"/>
        <d v="2011-05-20T00:00:00"/>
        <d v="2011-05-26T00:00:00"/>
      </sharedItems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0">
      <sharedItems containsSemiMixedTypes="0" containsString="0" containsNumber="1" containsInteger="1" minValue="-20000" maxValue="20000"/>
    </cacheField>
    <cacheField name="Tax Code" numFmtId="0">
      <sharedItems/>
    </cacheField>
    <cacheField name="Bank Code" numFmtId="0">
      <sharedItems/>
    </cacheField>
    <cacheField name="Account 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14">
      <sharedItems containsSemiMixedTypes="0" containsNonDate="0" containsDate="1" containsString="0" minDate="2011-03-02T00:00:00" maxDate="2011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2/14/2011"/>
    <s v="XY Solutions"/>
    <s v="S77782"/>
    <s v="Opening Balance"/>
    <x v="0"/>
    <x v="0"/>
    <s v="B1"/>
    <x v="0"/>
    <s v="3/2/2011"/>
  </r>
  <r>
    <s v="3/1/2011"/>
    <s v="IS Communications"/>
    <s v="Invoice EXP22"/>
    <s v="Internet Service Provider"/>
    <x v="1"/>
    <x v="0"/>
    <s v="B1"/>
    <x v="1"/>
    <s v="3/31/2011"/>
  </r>
  <r>
    <s v="3/2/2011"/>
    <s v="Newscorp"/>
    <s v="1381119"/>
    <s v="Subscriptions"/>
    <x v="2"/>
    <x v="0"/>
    <s v="B1"/>
    <x v="2"/>
    <s v="4/1/2011"/>
  </r>
  <r>
    <s v="3/5/2011"/>
    <s v="EAG Brokers"/>
    <s v="Debit Order"/>
    <s v="Insurance"/>
    <x v="3"/>
    <x v="0"/>
    <s v="B1"/>
    <x v="3"/>
    <s v="3/5/2011"/>
  </r>
  <r>
    <s v="3/15/2011"/>
    <s v="Capital Bank"/>
    <s v="Bank Statement"/>
    <s v="Service Fees"/>
    <x v="4"/>
    <x v="0"/>
    <s v="B1"/>
    <x v="4"/>
    <s v="3/15/2011"/>
  </r>
  <r>
    <s v="3/15/2011"/>
    <s v="Capital Bank"/>
    <s v="Bank Statement"/>
    <s v="Service Fees"/>
    <x v="5"/>
    <x v="0"/>
    <s v="B2"/>
    <x v="4"/>
    <s v="3/15/2011"/>
  </r>
  <r>
    <s v="3/15/2011"/>
    <s v="IAS Accountants"/>
    <s v="Invoice"/>
    <s v="Bookkeeping"/>
    <x v="6"/>
    <x v="0"/>
    <s v="B1"/>
    <x v="5"/>
    <s v="4/2/2011"/>
  </r>
  <r>
    <s v="3/15/2011"/>
    <s v="Interflora"/>
    <s v="Cash"/>
    <s v="Flowers"/>
    <x v="7"/>
    <x v="0"/>
    <s v="PC"/>
    <x v="6"/>
    <s v="3/15/2011"/>
  </r>
  <r>
    <s v="3/18/2011"/>
    <s v="QQ International"/>
    <s v="TR6998"/>
    <s v="Parking"/>
    <x v="8"/>
    <x v="0"/>
    <s v="B1"/>
    <x v="7"/>
    <s v="3/18/2011"/>
  </r>
  <r>
    <s v="3/20/2011"/>
    <s v="Example (Pty) Ltd"/>
    <s v="Transfer"/>
    <s v="Inter Account Transfer"/>
    <x v="9"/>
    <x v="1"/>
    <s v="B2"/>
    <x v="8"/>
    <s v="3/20/2011"/>
  </r>
  <r>
    <s v="3/20/2011"/>
    <s v="Example (Pty) Ltd"/>
    <s v="Transfer"/>
    <s v="Inter Account Transfer"/>
    <x v="10"/>
    <x v="1"/>
    <s v="B1"/>
    <x v="8"/>
    <s v="3/20/2011"/>
  </r>
  <r>
    <s v="3/26/2011"/>
    <s v="Example (Pty) Ltd"/>
    <s v="Payroll"/>
    <s v="Salaries"/>
    <x v="11"/>
    <x v="1"/>
    <s v="B2"/>
    <x v="9"/>
    <s v="3/26/2011"/>
  </r>
  <r>
    <s v="3/26/2011"/>
    <s v="HP Finance"/>
    <s v="Debit Order"/>
    <s v="Capital repayment"/>
    <x v="12"/>
    <x v="1"/>
    <s v="B1"/>
    <x v="10"/>
    <s v="3/26/2011"/>
  </r>
  <r>
    <s v="3/26/2011"/>
    <s v="HP Finance"/>
    <s v="Debit Order"/>
    <s v="Interest paid"/>
    <x v="13"/>
    <x v="1"/>
    <s v="B1"/>
    <x v="11"/>
    <s v="3/26/2011"/>
  </r>
  <r>
    <s v="3/26/2011"/>
    <s v="PR Properties"/>
    <s v="Debit Order"/>
    <s v="Rent"/>
    <x v="14"/>
    <x v="0"/>
    <s v="B1"/>
    <x v="12"/>
    <s v="3/26/2011"/>
  </r>
  <r>
    <s v="3/31/2011"/>
    <s v="Example (Pty) Ltd"/>
    <s v="Bank Statement"/>
    <s v="Petty Cash Reimbursement"/>
    <x v="13"/>
    <x v="1"/>
    <s v="B1"/>
    <x v="8"/>
    <s v="3/31/2011"/>
  </r>
  <r>
    <s v="3/31/2011"/>
    <s v="Example (Pty) Ltd"/>
    <s v="Bank Statement"/>
    <s v="Petty Cash Reimbursement"/>
    <x v="15"/>
    <x v="1"/>
    <s v="PC"/>
    <x v="8"/>
    <s v="3/31/2011"/>
  </r>
  <r>
    <s v="4/1/2011"/>
    <s v="IS Communications"/>
    <s v="Invoice EXP23"/>
    <s v="Internet Service Provider"/>
    <x v="1"/>
    <x v="0"/>
    <s v="B1"/>
    <x v="1"/>
    <s v="5/1/2011"/>
  </r>
  <r>
    <s v="4/5/2011"/>
    <s v="EAG Brokers"/>
    <s v="Debit Order"/>
    <s v="Insurance"/>
    <x v="3"/>
    <x v="0"/>
    <s v="B1"/>
    <x v="3"/>
    <s v="4/5/2011"/>
  </r>
  <r>
    <s v="4/12/2011"/>
    <s v="Interflora"/>
    <s v="Cash"/>
    <s v="Flowers"/>
    <x v="16"/>
    <x v="0"/>
    <s v="PC"/>
    <x v="6"/>
    <s v="4/12/2011"/>
  </r>
  <r>
    <s v="4/15/2011"/>
    <s v="Capital Bank"/>
    <s v="Bank Statement"/>
    <s v="Service Fees"/>
    <x v="17"/>
    <x v="0"/>
    <s v="B1"/>
    <x v="4"/>
    <s v="4/15/2011"/>
  </r>
  <r>
    <s v="4/15/2011"/>
    <s v="Capital Bank"/>
    <s v="Bank Statement"/>
    <s v="Service Fees"/>
    <x v="5"/>
    <x v="0"/>
    <s v="B2"/>
    <x v="4"/>
    <s v="4/15/2011"/>
  </r>
  <r>
    <s v="4/15/2011"/>
    <s v="IAS Accountants"/>
    <s v="Invoice"/>
    <s v="Bookkeeping"/>
    <x v="6"/>
    <x v="0"/>
    <s v="B1"/>
    <x v="5"/>
    <s v="5/3/2011"/>
  </r>
  <r>
    <s v="4/20/2011"/>
    <s v="Example (Pty) Ltd"/>
    <s v="Transfer"/>
    <s v="Inter Account Transfer"/>
    <x v="18"/>
    <x v="1"/>
    <s v="B2"/>
    <x v="8"/>
    <s v="4/20/2011"/>
  </r>
  <r>
    <s v="4/20/2011"/>
    <s v="Example (Pty) Ltd"/>
    <s v="Transfer"/>
    <s v="Inter Account Transfer"/>
    <x v="19"/>
    <x v="1"/>
    <s v="B1"/>
    <x v="8"/>
    <s v="4/20/2011"/>
  </r>
  <r>
    <s v="4/25/2011"/>
    <s v="Inland Revenue"/>
    <s v="Return"/>
    <s v="Sales Tax"/>
    <x v="20"/>
    <x v="1"/>
    <s v="B1"/>
    <x v="13"/>
    <s v="4/25/2011"/>
  </r>
  <r>
    <s v="4/26/2011"/>
    <s v="Example (Pty) Ltd"/>
    <s v="Payroll"/>
    <s v="Salaries"/>
    <x v="19"/>
    <x v="1"/>
    <s v="B2"/>
    <x v="9"/>
    <s v="4/26/2011"/>
  </r>
  <r>
    <s v="4/26/2011"/>
    <s v="Furniture City"/>
    <s v="Invoice"/>
    <s v="Furniture"/>
    <x v="21"/>
    <x v="0"/>
    <s v="B1"/>
    <x v="14"/>
    <s v="5/26/2011"/>
  </r>
  <r>
    <s v="4/26/2011"/>
    <s v="HP Finance"/>
    <s v="Debit Order"/>
    <s v="Capital repayment"/>
    <x v="12"/>
    <x v="1"/>
    <s v="B1"/>
    <x v="10"/>
    <s v="4/26/2011"/>
  </r>
  <r>
    <s v="4/26/2011"/>
    <s v="HP Finance"/>
    <s v="Debit Order"/>
    <s v="Interest paid"/>
    <x v="13"/>
    <x v="1"/>
    <s v="B1"/>
    <x v="11"/>
    <s v="4/26/2011"/>
  </r>
  <r>
    <s v="4/26/2011"/>
    <s v="PR Properties"/>
    <s v="Debit Order"/>
    <s v="Rent"/>
    <x v="14"/>
    <x v="0"/>
    <s v="B1"/>
    <x v="12"/>
    <s v="4/26/2011"/>
  </r>
  <r>
    <s v="4/29/2011"/>
    <s v="GF Supplies"/>
    <s v="IN1179"/>
    <s v="Consumables"/>
    <x v="22"/>
    <x v="0"/>
    <s v="PC"/>
    <x v="15"/>
    <s v="5/29/2011"/>
  </r>
  <r>
    <s v="4/30/2011"/>
    <s v="Example (Pty) Ltd"/>
    <s v="Bank Statement"/>
    <s v="Petty Cash Reimbursement"/>
    <x v="13"/>
    <x v="1"/>
    <s v="B1"/>
    <x v="8"/>
    <s v="4/30/2011"/>
  </r>
  <r>
    <s v="4/30/2011"/>
    <s v="Example (Pty) Ltd"/>
    <s v="Bank Statement"/>
    <s v="Petty Cash Reimbursement"/>
    <x v="15"/>
    <x v="1"/>
    <s v="PC"/>
    <x v="8"/>
    <s v="4/30/2011"/>
  </r>
  <r>
    <s v="5/1/2011"/>
    <s v="IS Communications"/>
    <s v="Invoice EXP24"/>
    <s v="Internet Service Provider"/>
    <x v="1"/>
    <x v="0"/>
    <s v="B1"/>
    <x v="1"/>
    <s v="5/31/2011"/>
  </r>
  <r>
    <s v="5/1/2011"/>
    <s v="Training Inc"/>
    <s v="Invoice"/>
    <s v="Course"/>
    <x v="12"/>
    <x v="0"/>
    <s v="B1"/>
    <x v="16"/>
    <s v="5/31/2011"/>
  </r>
  <r>
    <s v="5/5/2011"/>
    <s v="EAG Brokers"/>
    <s v="Debit Order"/>
    <s v="Insurance"/>
    <x v="3"/>
    <x v="0"/>
    <s v="B1"/>
    <x v="3"/>
    <s v="5/5/2011"/>
  </r>
  <r>
    <s v="5/7/2011"/>
    <s v="City Lodge"/>
    <s v="S50037"/>
    <s v="Accommodation"/>
    <x v="23"/>
    <x v="0"/>
    <s v="B1"/>
    <x v="7"/>
    <s v="5/7/2011"/>
  </r>
  <r>
    <s v="5/7/2011"/>
    <s v="Waltons"/>
    <s v="Invoice"/>
    <s v="Stationery"/>
    <x v="24"/>
    <x v="0"/>
    <s v="B1"/>
    <x v="17"/>
    <s v="6/6/2011"/>
  </r>
  <r>
    <s v="5/15/2011"/>
    <s v="Capital Bank"/>
    <s v="Bank Statement"/>
    <s v="Service Fees"/>
    <x v="17"/>
    <x v="0"/>
    <s v="B1"/>
    <x v="4"/>
    <s v="5/15/2011"/>
  </r>
  <r>
    <s v="5/15/2011"/>
    <s v="Capital Bank"/>
    <s v="Bank Statement"/>
    <s v="Service Fees"/>
    <x v="5"/>
    <x v="0"/>
    <s v="B2"/>
    <x v="4"/>
    <s v="5/15/2011"/>
  </r>
  <r>
    <s v="5/15/2011"/>
    <s v="IAS Accountants"/>
    <s v="Invoice"/>
    <s v="Bookkeeping"/>
    <x v="6"/>
    <x v="0"/>
    <s v="B1"/>
    <x v="5"/>
    <s v="6/2/2011"/>
  </r>
  <r>
    <s v="5/20/2011"/>
    <s v="Example (Pty) Ltd"/>
    <s v="Transfer"/>
    <s v="Inter Account Transfer"/>
    <x v="18"/>
    <x v="1"/>
    <s v="B2"/>
    <x v="8"/>
    <s v="5/20/2011"/>
  </r>
  <r>
    <s v="5/20/2011"/>
    <s v="Example (Pty) Ltd"/>
    <s v="Transfer"/>
    <s v="Inter Account Transfer"/>
    <x v="19"/>
    <x v="1"/>
    <s v="B1"/>
    <x v="8"/>
    <s v="5/20/2011"/>
  </r>
  <r>
    <s v="5/26/2011"/>
    <s v="Example (Pty) Ltd"/>
    <s v="Payroll"/>
    <s v="Salaries"/>
    <x v="19"/>
    <x v="1"/>
    <s v="B2"/>
    <x v="9"/>
    <s v="5/26/2011"/>
  </r>
  <r>
    <s v="5/26/2011"/>
    <s v="HP Finance"/>
    <s v="Debit Order"/>
    <s v="Capital repayment"/>
    <x v="12"/>
    <x v="1"/>
    <s v="B1"/>
    <x v="10"/>
    <s v="5/26/2011"/>
  </r>
  <r>
    <s v="5/26/2011"/>
    <s v="HP Finance"/>
    <s v="Debit Order"/>
    <s v="Interest paid"/>
    <x v="13"/>
    <x v="1"/>
    <s v="B1"/>
    <x v="11"/>
    <s v="5/26/20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XY Solutions"/>
    <s v="S77782"/>
    <s v="Opening Balance"/>
    <n v="5100"/>
    <s v="A"/>
    <s v="B1"/>
    <x v="0"/>
    <d v="2011-03-02T00:00:00"/>
  </r>
  <r>
    <x v="1"/>
    <s v="IS Communications"/>
    <s v="Invoice EXP22"/>
    <s v="Internet Service Provider"/>
    <n v="179"/>
    <s v="A"/>
    <s v="B1"/>
    <x v="1"/>
    <d v="2011-03-31T00:00:00"/>
  </r>
  <r>
    <x v="2"/>
    <s v="Newscorp"/>
    <s v="1381119"/>
    <s v="Subscriptions"/>
    <n v="478"/>
    <s v="A"/>
    <s v="B1"/>
    <x v="2"/>
    <d v="2011-04-01T00:00:00"/>
  </r>
  <r>
    <x v="3"/>
    <s v="EAG Brokers"/>
    <s v="Debit Order"/>
    <s v="Insurance"/>
    <n v="340"/>
    <s v="A"/>
    <s v="B1"/>
    <x v="3"/>
    <d v="2011-03-05T00:00:00"/>
  </r>
  <r>
    <x v="4"/>
    <s v="Capital Bank"/>
    <s v="Bank Statement"/>
    <s v="Service Fees"/>
    <n v="50"/>
    <s v="A"/>
    <s v="B1"/>
    <x v="4"/>
    <d v="2011-03-15T00:00:00"/>
  </r>
  <r>
    <x v="4"/>
    <s v="Capital Bank"/>
    <s v="Bank Statement"/>
    <s v="Service Fees"/>
    <n v="35"/>
    <s v="A"/>
    <s v="B2"/>
    <x v="4"/>
    <d v="2011-03-15T00:00:00"/>
  </r>
  <r>
    <x v="4"/>
    <s v="IAS Accountants"/>
    <s v="Invoice"/>
    <s v="Bookkeeping"/>
    <n v="1000"/>
    <s v="A"/>
    <s v="B1"/>
    <x v="5"/>
    <d v="2011-04-02T00:00:00"/>
  </r>
  <r>
    <x v="4"/>
    <s v="Interflora"/>
    <s v="Cash"/>
    <s v="Flowers"/>
    <n v="90"/>
    <s v="A"/>
    <s v="PC"/>
    <x v="6"/>
    <d v="2011-03-15T00:00:00"/>
  </r>
  <r>
    <x v="5"/>
    <s v="QQ International"/>
    <s v="TR6998"/>
    <s v="Parking"/>
    <n v="200"/>
    <s v="A"/>
    <s v="B1"/>
    <x v="7"/>
    <d v="2011-03-18T00:00:00"/>
  </r>
  <r>
    <x v="6"/>
    <s v="Example (Pty) Ltd"/>
    <s v="Transfer"/>
    <s v="Inter Account Transfer"/>
    <n v="-15000"/>
    <s v="E"/>
    <s v="B2"/>
    <x v="8"/>
    <d v="2011-03-20T00:00:00"/>
  </r>
  <r>
    <x v="6"/>
    <s v="Example (Pty) Ltd"/>
    <s v="Transfer"/>
    <s v="Inter Account Transfer"/>
    <n v="15000"/>
    <s v="E"/>
    <s v="B1"/>
    <x v="8"/>
    <d v="2011-03-20T00:00:00"/>
  </r>
  <r>
    <x v="7"/>
    <s v="Example (Pty) Ltd"/>
    <s v="Payroll"/>
    <s v="Salaries"/>
    <n v="13000"/>
    <s v="E"/>
    <s v="B2"/>
    <x v="9"/>
    <d v="2011-03-26T00:00:00"/>
  </r>
  <r>
    <x v="7"/>
    <s v="HP Finance"/>
    <s v="Debit Order"/>
    <s v="Capital repayment"/>
    <n v="220"/>
    <s v="E"/>
    <s v="B1"/>
    <x v="10"/>
    <d v="2011-03-26T00:00:00"/>
  </r>
  <r>
    <x v="7"/>
    <s v="HP Finance"/>
    <s v="Debit Order"/>
    <s v="Interest paid"/>
    <n v="100"/>
    <s v="E"/>
    <s v="B1"/>
    <x v="11"/>
    <d v="2011-03-26T00:00:00"/>
  </r>
  <r>
    <x v="7"/>
    <s v="PR Properties"/>
    <s v="Debit Order"/>
    <s v="Rent"/>
    <n v="6400"/>
    <s v="A"/>
    <s v="B1"/>
    <x v="12"/>
    <d v="2011-03-26T00:00:00"/>
  </r>
  <r>
    <x v="8"/>
    <s v="Example (Pty) Ltd"/>
    <s v="Bank Statement"/>
    <s v="Petty Cash Reimbursement"/>
    <n v="100"/>
    <s v="E"/>
    <s v="B1"/>
    <x v="8"/>
    <d v="2011-03-31T00:00:00"/>
  </r>
  <r>
    <x v="8"/>
    <s v="Example (Pty) Ltd"/>
    <s v="Bank Statement"/>
    <s v="Petty Cash Reimbursement"/>
    <n v="-100"/>
    <s v="E"/>
    <s v="PC"/>
    <x v="8"/>
    <d v="2011-03-31T00:00:00"/>
  </r>
  <r>
    <x v="9"/>
    <s v="IS Communications"/>
    <s v="Invoice EXP23"/>
    <s v="Internet Service Provider"/>
    <n v="179"/>
    <s v="A"/>
    <s v="B1"/>
    <x v="1"/>
    <d v="2011-05-01T00:00:00"/>
  </r>
  <r>
    <x v="10"/>
    <s v="EAG Brokers"/>
    <s v="Debit Order"/>
    <s v="Insurance"/>
    <n v="340"/>
    <s v="A"/>
    <s v="B1"/>
    <x v="3"/>
    <d v="2011-04-05T00:00:00"/>
  </r>
  <r>
    <x v="11"/>
    <s v="Interflora"/>
    <s v="Cash"/>
    <s v="Flowers"/>
    <n v="87"/>
    <s v="A"/>
    <s v="PC"/>
    <x v="6"/>
    <d v="2011-04-12T00:00:00"/>
  </r>
  <r>
    <x v="12"/>
    <s v="Capital Bank"/>
    <s v="Bank Statement"/>
    <s v="Service Fees"/>
    <n v="80"/>
    <s v="A"/>
    <s v="B1"/>
    <x v="4"/>
    <d v="2011-04-15T00:00:00"/>
  </r>
  <r>
    <x v="12"/>
    <s v="Capital Bank"/>
    <s v="Bank Statement"/>
    <s v="Service Fees"/>
    <n v="35"/>
    <s v="A"/>
    <s v="B2"/>
    <x v="4"/>
    <d v="2011-04-15T00:00:00"/>
  </r>
  <r>
    <x v="12"/>
    <s v="IAS Accountants"/>
    <s v="Invoice"/>
    <s v="Bookkeeping"/>
    <n v="1000"/>
    <s v="A"/>
    <s v="B1"/>
    <x v="5"/>
    <d v="2011-05-03T00:00:00"/>
  </r>
  <r>
    <x v="13"/>
    <s v="Example (Pty) Ltd"/>
    <s v="Transfer"/>
    <s v="Inter Account Transfer"/>
    <n v="-20000"/>
    <s v="E"/>
    <s v="B2"/>
    <x v="8"/>
    <d v="2011-04-20T00:00:00"/>
  </r>
  <r>
    <x v="13"/>
    <s v="Example (Pty) Ltd"/>
    <s v="Transfer"/>
    <s v="Inter Account Transfer"/>
    <n v="20000"/>
    <s v="E"/>
    <s v="B1"/>
    <x v="8"/>
    <d v="2011-04-20T00:00:00"/>
  </r>
  <r>
    <x v="14"/>
    <s v="Inland Revenue"/>
    <s v="Return"/>
    <s v="Sales Tax"/>
    <n v="1300"/>
    <s v="E"/>
    <s v="B1"/>
    <x v="13"/>
    <d v="2011-04-25T00:00:00"/>
  </r>
  <r>
    <x v="15"/>
    <s v="Example (Pty) Ltd"/>
    <s v="Payroll"/>
    <s v="Salaries"/>
    <n v="20000"/>
    <s v="E"/>
    <s v="B2"/>
    <x v="9"/>
    <d v="2011-04-26T00:00:00"/>
  </r>
  <r>
    <x v="15"/>
    <s v="Furniture City"/>
    <s v="Invoice"/>
    <s v="Furniture"/>
    <n v="3000"/>
    <s v="A"/>
    <s v="B1"/>
    <x v="14"/>
    <d v="2011-05-26T00:00:00"/>
  </r>
  <r>
    <x v="15"/>
    <s v="HP Finance"/>
    <s v="Debit Order"/>
    <s v="Capital repayment"/>
    <n v="220"/>
    <s v="E"/>
    <s v="B1"/>
    <x v="10"/>
    <d v="2011-04-26T00:00:00"/>
  </r>
  <r>
    <x v="15"/>
    <s v="HP Finance"/>
    <s v="Debit Order"/>
    <s v="Interest paid"/>
    <n v="100"/>
    <s v="E"/>
    <s v="B1"/>
    <x v="11"/>
    <d v="2011-04-26T00:00:00"/>
  </r>
  <r>
    <x v="15"/>
    <s v="PR Properties"/>
    <s v="Debit Order"/>
    <s v="Rent"/>
    <n v="6400"/>
    <s v="A"/>
    <s v="B1"/>
    <x v="12"/>
    <d v="2011-04-26T00:00:00"/>
  </r>
  <r>
    <x v="16"/>
    <s v="GF Supplies"/>
    <s v="IN1179"/>
    <s v="Consumables"/>
    <n v="41"/>
    <s v="A"/>
    <s v="PC"/>
    <x v="15"/>
    <d v="2011-05-29T00:00:00"/>
  </r>
  <r>
    <x v="17"/>
    <s v="Example (Pty) Ltd"/>
    <s v="Bank Statement"/>
    <s v="Petty Cash Reimbursement"/>
    <n v="100"/>
    <s v="E"/>
    <s v="B1"/>
    <x v="8"/>
    <d v="2011-04-30T00:00:00"/>
  </r>
  <r>
    <x v="17"/>
    <s v="Example (Pty) Ltd"/>
    <s v="Bank Statement"/>
    <s v="Petty Cash Reimbursement"/>
    <n v="-100"/>
    <s v="E"/>
    <s v="PC"/>
    <x v="8"/>
    <d v="2011-04-30T00:00:00"/>
  </r>
  <r>
    <x v="18"/>
    <s v="IS Communications"/>
    <s v="Invoice EXP24"/>
    <s v="Internet Service Provider"/>
    <n v="179"/>
    <s v="A"/>
    <s v="B1"/>
    <x v="1"/>
    <d v="2011-05-31T00:00:00"/>
  </r>
  <r>
    <x v="18"/>
    <s v="Training Inc"/>
    <s v="Invoice"/>
    <s v="Course"/>
    <n v="220"/>
    <s v="A"/>
    <s v="B1"/>
    <x v="16"/>
    <d v="2011-05-31T00:00:00"/>
  </r>
  <r>
    <x v="19"/>
    <s v="EAG Brokers"/>
    <s v="Debit Order"/>
    <s v="Insurance"/>
    <n v="340"/>
    <s v="A"/>
    <s v="B1"/>
    <x v="3"/>
    <d v="2011-05-05T00:00:00"/>
  </r>
  <r>
    <x v="20"/>
    <s v="City Lodge"/>
    <s v="S50037"/>
    <s v="Accommodation"/>
    <n v="563"/>
    <s v="A"/>
    <s v="B1"/>
    <x v="7"/>
    <d v="2011-05-07T00:00:00"/>
  </r>
  <r>
    <x v="20"/>
    <s v="Waltons"/>
    <s v="Invoice"/>
    <s v="Stationery"/>
    <n v="982"/>
    <s v="A"/>
    <s v="B1"/>
    <x v="17"/>
    <d v="2011-06-06T00:00:00"/>
  </r>
  <r>
    <x v="21"/>
    <s v="Capital Bank"/>
    <s v="Bank Statement"/>
    <s v="Service Fees"/>
    <n v="80"/>
    <s v="A"/>
    <s v="B1"/>
    <x v="4"/>
    <d v="2011-05-15T00:00:00"/>
  </r>
  <r>
    <x v="21"/>
    <s v="Capital Bank"/>
    <s v="Bank Statement"/>
    <s v="Service Fees"/>
    <n v="35"/>
    <s v="A"/>
    <s v="B2"/>
    <x v="4"/>
    <d v="2011-05-15T00:00:00"/>
  </r>
  <r>
    <x v="21"/>
    <s v="IAS Accountants"/>
    <s v="Invoice"/>
    <s v="Bookkeeping"/>
    <n v="1000"/>
    <s v="A"/>
    <s v="B1"/>
    <x v="5"/>
    <d v="2011-06-02T00:00:00"/>
  </r>
  <r>
    <x v="22"/>
    <s v="Example (Pty) Ltd"/>
    <s v="Transfer"/>
    <s v="Inter Account Transfer"/>
    <n v="-20000"/>
    <s v="E"/>
    <s v="B2"/>
    <x v="8"/>
    <d v="2011-05-20T00:00:00"/>
  </r>
  <r>
    <x v="22"/>
    <s v="Example (Pty) Ltd"/>
    <s v="Transfer"/>
    <s v="Inter Account Transfer"/>
    <n v="20000"/>
    <s v="E"/>
    <s v="B1"/>
    <x v="8"/>
    <d v="2011-05-20T00:00:00"/>
  </r>
  <r>
    <x v="23"/>
    <s v="Example (Pty) Ltd"/>
    <s v="Payroll"/>
    <s v="Salaries"/>
    <n v="20000"/>
    <s v="E"/>
    <s v="B2"/>
    <x v="9"/>
    <d v="2011-05-26T00:00:00"/>
  </r>
  <r>
    <x v="23"/>
    <s v="HP Finance"/>
    <s v="Debit Order"/>
    <s v="Capital repayment"/>
    <n v="220"/>
    <s v="E"/>
    <s v="B1"/>
    <x v="10"/>
    <d v="2011-05-26T00:00:00"/>
  </r>
  <r>
    <x v="23"/>
    <s v="HP Finance"/>
    <s v="Debit Order"/>
    <s v="Interest paid"/>
    <n v="100"/>
    <s v="E"/>
    <s v="B1"/>
    <x v="11"/>
    <d v="2011-05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8CB7C-C6AE-4818-9751-6A0F64F48A3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4:L7" firstHeaderRow="1" firstDataRow="1" firstDataCol="1"/>
  <pivotFields count="9"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9">
        <item h="1" x="14"/>
        <item h="1" x="8"/>
        <item h="1" x="0"/>
        <item h="1" x="13"/>
        <item h="1" x="10"/>
        <item h="1" x="5"/>
        <item h="1" x="4"/>
        <item h="1" x="15"/>
        <item h="1" x="3"/>
        <item h="1" x="6"/>
        <item h="1" x="12"/>
        <item h="1" x="9"/>
        <item h="1" x="17"/>
        <item x="2"/>
        <item h="1" x="1"/>
        <item h="1" x="16"/>
        <item x="7"/>
        <item h="1" x="11"/>
        <item t="default"/>
      </items>
    </pivotField>
    <pivotField numFmtId="14" showAll="0"/>
  </pivotFields>
  <rowFields count="1">
    <field x="7"/>
  </rowFields>
  <rowItems count="3">
    <i>
      <x v="13"/>
    </i>
    <i>
      <x v="16"/>
    </i>
    <i t="grand">
      <x/>
    </i>
  </rowItems>
  <colItems count="1">
    <i/>
  </colItems>
  <dataFields count="1">
    <dataField name="Sum of Tax Inclusiv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5DAEC-D761-47CA-8C04-E502F663EDD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4:N7" firstHeaderRow="1" firstDataRow="1" firstDataCol="1"/>
  <pivotFields count="9">
    <pivotField showAll="0"/>
    <pivotField showAll="0"/>
    <pivotField showAll="0"/>
    <pivotField showAll="0"/>
    <pivotField dataField="1" showAll="0">
      <items count="26">
        <item x="6"/>
        <item x="20"/>
        <item x="13"/>
        <item x="15"/>
        <item x="11"/>
        <item x="10"/>
        <item x="9"/>
        <item x="1"/>
        <item x="19"/>
        <item x="18"/>
        <item x="8"/>
        <item x="12"/>
        <item x="21"/>
        <item x="3"/>
        <item x="5"/>
        <item x="22"/>
        <item x="2"/>
        <item x="0"/>
        <item x="4"/>
        <item x="23"/>
        <item x="14"/>
        <item x="17"/>
        <item x="16"/>
        <item x="7"/>
        <item x="2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multipleItemSelectionAllowed="1" showAll="0">
      <items count="19">
        <item h="1" x="14"/>
        <item h="1" x="8"/>
        <item h="1" x="0"/>
        <item h="1" x="13"/>
        <item h="1" x="10"/>
        <item h="1" x="5"/>
        <item h="1" x="4"/>
        <item h="1" x="15"/>
        <item h="1" x="3"/>
        <item h="1" x="6"/>
        <item h="1" x="12"/>
        <item h="1" x="9"/>
        <item h="1" x="17"/>
        <item x="2"/>
        <item h="1" x="1"/>
        <item h="1" x="16"/>
        <item x="7"/>
        <item h="1" x="11"/>
        <item t="default"/>
      </items>
    </pivotField>
    <pivotField showAll="0"/>
  </pivotFields>
  <rowFields count="1">
    <field x="7"/>
  </rowFields>
  <rowItems count="3">
    <i>
      <x v="13"/>
    </i>
    <i>
      <x v="16"/>
    </i>
    <i t="grand">
      <x/>
    </i>
  </rowItems>
  <colItems count="1">
    <i/>
  </colItems>
  <dataFields count="1">
    <dataField name="Sum of Tax Inclusive Amount" fld="4" baseField="7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48F5A3-8B42-48E6-A6D0-4DE983D31822}" autoFormatId="16" applyNumberFormats="0" applyBorderFormats="0" applyFontFormats="0" applyPatternFormats="0" applyAlignmentFormats="0" applyWidthHeightFormats="0">
  <queryTableRefresh nextId="10">
    <queryTableFields count="9">
      <queryTableField id="1" name="Document Date" tableColumnId="1"/>
      <queryTableField id="2" name="Supplier" tableColumnId="2"/>
      <queryTableField id="3" name="Reference" tableColumnId="3"/>
      <queryTableField id="4" name="Description" tableColumnId="4"/>
      <queryTableField id="5" name="Tax Inclusive Amount" tableColumnId="5"/>
      <queryTableField id="6" name="Tax Code" tableColumnId="6"/>
      <queryTableField id="7" name="Bank Code" tableColumnId="7"/>
      <queryTableField id="8" name="Account Code" tableColumnId="8"/>
      <queryTableField id="9" name="Payment 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6CD30A-93BD-4383-8C87-B8450AD2BE9A}" autoFormatId="16" applyNumberFormats="0" applyBorderFormats="0" applyFontFormats="0" applyPatternFormats="0" applyAlignmentFormats="0" applyWidthHeightFormats="0">
  <queryTableRefresh nextId="2">
    <queryTableFields count="1">
      <queryTableField id="1" name="Tax Inclusive Amou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41F28-6E60-491C-877D-040414A64B13}" name="Table2_2" displayName="Table2_2" ref="A1:I48" tableType="queryTable" totalsRowShown="0" headerRowDxfId="3">
  <tableColumns count="9">
    <tableColumn id="1" xr3:uid="{BB391ACC-6CD7-4D75-824F-17E9EAF6CC14}" uniqueName="1" name="Document Date" queryTableFieldId="1" dataDxfId="23"/>
    <tableColumn id="2" xr3:uid="{DE5D5D40-B5EC-449D-9C9C-2C7BE0880F43}" uniqueName="2" name="Supplier" queryTableFieldId="2" dataDxfId="22"/>
    <tableColumn id="3" xr3:uid="{98ED95CC-B04F-4A33-A060-3EBF25BBF585}" uniqueName="3" name="Reference" queryTableFieldId="3" dataDxfId="21"/>
    <tableColumn id="4" xr3:uid="{E0120C93-BD08-4F1C-AB8F-A93DA18E00F4}" uniqueName="4" name="Description" queryTableFieldId="4" dataDxfId="6"/>
    <tableColumn id="5" xr3:uid="{949DC8A2-DEA0-46A1-9179-9FB3E1ABE2EA}" uniqueName="5" name="Tax Inclusive Amount" queryTableFieldId="5" dataDxfId="4"/>
    <tableColumn id="6" xr3:uid="{D58EDF0A-36E0-4523-AA0A-86B420B5ECDF}" uniqueName="6" name="Tax Code" queryTableFieldId="6" dataDxfId="5"/>
    <tableColumn id="7" xr3:uid="{A94AC68B-981F-42E1-8CD1-651052A01E1B}" uniqueName="7" name="Bank Code" queryTableFieldId="7" dataDxfId="20"/>
    <tableColumn id="8" xr3:uid="{5D557DE1-0970-4BFF-A006-F6B8569D7A06}" uniqueName="8" name="Account Code" queryTableFieldId="8" dataDxfId="19"/>
    <tableColumn id="9" xr3:uid="{44DA6EFD-72F9-43CF-869C-1F10791F0984}" uniqueName="9" name="Payment Date" queryTableFieldId="9" dataDxfId="1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D4E268-5257-426E-BF91-2481B9B3D608}" name="New_Sheet_2" displayName="New_Sheet_2" ref="A1:A26" tableType="queryTable" totalsRowShown="0" headerRowDxfId="2">
  <tableColumns count="1">
    <tableColumn id="1" xr3:uid="{D6A37E49-8E63-4A7C-8014-C096DF5FE31D}" uniqueName="1" name="Tax Inclusive Amount" queryTableFieldId="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4C454-2F97-4684-8BA9-1A0B046E2DF7}" name="Table2" displayName="Table2" ref="A3:I50" totalsRowShown="0" headerRowDxfId="0" headerRowBorderDxfId="1" tableBorderDxfId="17" totalsRowBorderDxfId="16">
  <tableColumns count="9">
    <tableColumn id="1" xr3:uid="{03062C6C-5CA1-4F2D-902F-E5D5A3B94C49}" name="Document Date" dataDxfId="15"/>
    <tableColumn id="2" xr3:uid="{E244CF33-5D48-4DBF-8F19-C6BC1B96125A}" name="Supplier" dataDxfId="14"/>
    <tableColumn id="3" xr3:uid="{E742F6BB-5E8C-49AB-ACAC-496BBBA9910F}" name="Reference" dataDxfId="13"/>
    <tableColumn id="4" xr3:uid="{972CDC58-538E-4A88-A23A-D71533518918}" name="Description" dataDxfId="12"/>
    <tableColumn id="5" xr3:uid="{7CE9FD0B-B1C5-4B5C-A1F5-EF3B0CEFB90E}" name="Tax Inclusive Amount" dataDxfId="11"/>
    <tableColumn id="6" xr3:uid="{1DA2A03E-06E7-4B60-AC1F-6B022F8F12E0}" name="Tax Code" dataDxfId="10"/>
    <tableColumn id="7" xr3:uid="{A59FF3AA-22E5-4D6B-996F-F8617D0D2E08}" name="Bank Code" dataDxfId="9"/>
    <tableColumn id="8" xr3:uid="{51200AEA-8FF6-4149-B661-917A49A6083E}" name="Account Code" dataDxfId="8"/>
    <tableColumn id="9" xr3:uid="{F6EC6E8E-F858-40B9-9CEB-CA2AB8BDC829}" name="Payment Date" dataDxfId="7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B495-DF14-4D61-B85A-D3215915EB19}">
  <dimension ref="A1:L48"/>
  <sheetViews>
    <sheetView workbookViewId="0">
      <selection activeCell="K4" sqref="K4"/>
    </sheetView>
  </sheetViews>
  <sheetFormatPr defaultRowHeight="15" x14ac:dyDescent="0.25"/>
  <cols>
    <col min="1" max="1" width="10.140625" customWidth="1"/>
    <col min="2" max="2" width="18.140625" bestFit="1" customWidth="1"/>
    <col min="3" max="3" width="15.140625" bestFit="1" customWidth="1"/>
    <col min="4" max="4" width="25.5703125" bestFit="1" customWidth="1"/>
    <col min="5" max="5" width="10.28515625" style="18" customWidth="1"/>
    <col min="6" max="6" width="8" customWidth="1"/>
    <col min="7" max="7" width="7.85546875" customWidth="1"/>
    <col min="8" max="8" width="10.42578125" customWidth="1"/>
    <col min="9" max="9" width="11.7109375" customWidth="1"/>
    <col min="11" max="11" width="13.140625" bestFit="1" customWidth="1"/>
    <col min="12" max="12" width="27" bestFit="1" customWidth="1"/>
  </cols>
  <sheetData>
    <row r="1" spans="1:12" s="17" customFormat="1" ht="45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12" x14ac:dyDescent="0.25">
      <c r="A2" s="16">
        <v>40588</v>
      </c>
      <c r="B2" s="6" t="s">
        <v>10</v>
      </c>
      <c r="C2" s="6" t="s">
        <v>11</v>
      </c>
      <c r="D2" s="6" t="s">
        <v>12</v>
      </c>
      <c r="E2" s="18">
        <v>5100</v>
      </c>
      <c r="F2" s="6" t="s">
        <v>14</v>
      </c>
      <c r="G2" s="6" t="s">
        <v>15</v>
      </c>
      <c r="H2" s="6" t="s">
        <v>16</v>
      </c>
      <c r="I2" s="16">
        <v>40604</v>
      </c>
      <c r="K2" s="17"/>
      <c r="L2" s="17"/>
    </row>
    <row r="3" spans="1:12" x14ac:dyDescent="0.25">
      <c r="A3" s="16">
        <v>40603</v>
      </c>
      <c r="B3" s="6" t="s">
        <v>19</v>
      </c>
      <c r="C3" s="6" t="s">
        <v>20</v>
      </c>
      <c r="D3" s="6" t="s">
        <v>21</v>
      </c>
      <c r="E3" s="18">
        <v>179</v>
      </c>
      <c r="F3" s="6" t="s">
        <v>14</v>
      </c>
      <c r="G3" s="6" t="s">
        <v>15</v>
      </c>
      <c r="H3" s="6" t="s">
        <v>23</v>
      </c>
      <c r="I3" s="16">
        <v>40633</v>
      </c>
    </row>
    <row r="4" spans="1:12" x14ac:dyDescent="0.25">
      <c r="A4" s="16">
        <v>40604</v>
      </c>
      <c r="B4" s="6" t="s">
        <v>25</v>
      </c>
      <c r="C4" s="6" t="s">
        <v>26</v>
      </c>
      <c r="D4" s="6" t="s">
        <v>27</v>
      </c>
      <c r="E4" s="18">
        <v>478</v>
      </c>
      <c r="F4" s="6" t="s">
        <v>14</v>
      </c>
      <c r="G4" s="6" t="s">
        <v>15</v>
      </c>
      <c r="H4" s="6" t="s">
        <v>29</v>
      </c>
      <c r="I4" s="16">
        <v>40634</v>
      </c>
      <c r="K4" s="5" t="s">
        <v>140</v>
      </c>
      <c r="L4" t="s">
        <v>139</v>
      </c>
    </row>
    <row r="5" spans="1:12" x14ac:dyDescent="0.25">
      <c r="A5" s="16">
        <v>40607</v>
      </c>
      <c r="B5" s="6" t="s">
        <v>32</v>
      </c>
      <c r="C5" s="6" t="s">
        <v>33</v>
      </c>
      <c r="D5" s="6" t="s">
        <v>34</v>
      </c>
      <c r="E5" s="18">
        <v>340</v>
      </c>
      <c r="F5" s="6" t="s">
        <v>14</v>
      </c>
      <c r="G5" s="6" t="s">
        <v>15</v>
      </c>
      <c r="H5" s="6" t="s">
        <v>36</v>
      </c>
      <c r="I5" s="16">
        <v>40607</v>
      </c>
      <c r="K5" s="7" t="s">
        <v>29</v>
      </c>
      <c r="L5" s="6">
        <v>478</v>
      </c>
    </row>
    <row r="6" spans="1:12" x14ac:dyDescent="0.25">
      <c r="A6" s="16">
        <v>40617</v>
      </c>
      <c r="B6" s="6" t="s">
        <v>38</v>
      </c>
      <c r="C6" s="6" t="s">
        <v>39</v>
      </c>
      <c r="D6" s="6" t="s">
        <v>40</v>
      </c>
      <c r="E6" s="18">
        <v>50</v>
      </c>
      <c r="F6" s="6" t="s">
        <v>14</v>
      </c>
      <c r="G6" s="6" t="s">
        <v>15</v>
      </c>
      <c r="H6" s="6" t="s">
        <v>42</v>
      </c>
      <c r="I6" s="16">
        <v>40617</v>
      </c>
      <c r="K6" s="7" t="s">
        <v>62</v>
      </c>
      <c r="L6" s="6">
        <v>763</v>
      </c>
    </row>
    <row r="7" spans="1:12" x14ac:dyDescent="0.25">
      <c r="A7" s="16">
        <v>40617</v>
      </c>
      <c r="B7" s="6" t="s">
        <v>38</v>
      </c>
      <c r="C7" s="6" t="s">
        <v>39</v>
      </c>
      <c r="D7" s="6" t="s">
        <v>40</v>
      </c>
      <c r="E7" s="18">
        <v>35</v>
      </c>
      <c r="F7" s="6" t="s">
        <v>14</v>
      </c>
      <c r="G7" s="6" t="s">
        <v>44</v>
      </c>
      <c r="H7" s="6" t="s">
        <v>42</v>
      </c>
      <c r="I7" s="16">
        <v>40617</v>
      </c>
      <c r="K7" s="7" t="s">
        <v>141</v>
      </c>
      <c r="L7" s="6">
        <v>1241</v>
      </c>
    </row>
    <row r="8" spans="1:12" x14ac:dyDescent="0.25">
      <c r="A8" s="16">
        <v>40617</v>
      </c>
      <c r="B8" s="6" t="s">
        <v>45</v>
      </c>
      <c r="C8" s="6" t="s">
        <v>46</v>
      </c>
      <c r="D8" s="6" t="s">
        <v>47</v>
      </c>
      <c r="E8" s="18">
        <v>1000</v>
      </c>
      <c r="F8" s="6" t="s">
        <v>14</v>
      </c>
      <c r="G8" s="6" t="s">
        <v>15</v>
      </c>
      <c r="H8" s="6" t="s">
        <v>49</v>
      </c>
      <c r="I8" s="16">
        <v>40635</v>
      </c>
    </row>
    <row r="9" spans="1:12" x14ac:dyDescent="0.25">
      <c r="A9" s="16">
        <v>40617</v>
      </c>
      <c r="B9" s="6" t="s">
        <v>51</v>
      </c>
      <c r="C9" s="6" t="s">
        <v>52</v>
      </c>
      <c r="D9" s="6" t="s">
        <v>53</v>
      </c>
      <c r="E9" s="18">
        <v>90</v>
      </c>
      <c r="F9" s="6" t="s">
        <v>14</v>
      </c>
      <c r="G9" s="6" t="s">
        <v>55</v>
      </c>
      <c r="H9" s="6" t="s">
        <v>56</v>
      </c>
      <c r="I9" s="16">
        <v>40617</v>
      </c>
    </row>
    <row r="10" spans="1:12" x14ac:dyDescent="0.25">
      <c r="A10" s="16">
        <v>40620</v>
      </c>
      <c r="B10" s="6" t="s">
        <v>58</v>
      </c>
      <c r="C10" s="6" t="s">
        <v>59</v>
      </c>
      <c r="D10" s="6" t="s">
        <v>60</v>
      </c>
      <c r="E10" s="18">
        <v>200</v>
      </c>
      <c r="F10" s="6" t="s">
        <v>14</v>
      </c>
      <c r="G10" s="6" t="s">
        <v>15</v>
      </c>
      <c r="H10" s="6" t="s">
        <v>62</v>
      </c>
      <c r="I10" s="16">
        <v>40620</v>
      </c>
    </row>
    <row r="11" spans="1:12" x14ac:dyDescent="0.25">
      <c r="A11" s="16">
        <v>40622</v>
      </c>
      <c r="B11" s="6" t="s">
        <v>64</v>
      </c>
      <c r="C11" s="6" t="s">
        <v>65</v>
      </c>
      <c r="D11" s="6" t="s">
        <v>66</v>
      </c>
      <c r="E11" s="18">
        <v>-15000</v>
      </c>
      <c r="F11" s="6" t="s">
        <v>68</v>
      </c>
      <c r="G11" s="6" t="s">
        <v>44</v>
      </c>
      <c r="H11" s="6" t="s">
        <v>69</v>
      </c>
      <c r="I11" s="16">
        <v>40622</v>
      </c>
    </row>
    <row r="12" spans="1:12" x14ac:dyDescent="0.25">
      <c r="A12" s="16">
        <v>40622</v>
      </c>
      <c r="B12" s="6" t="s">
        <v>64</v>
      </c>
      <c r="C12" s="6" t="s">
        <v>65</v>
      </c>
      <c r="D12" s="6" t="s">
        <v>66</v>
      </c>
      <c r="E12" s="18">
        <v>15000</v>
      </c>
      <c r="F12" s="6" t="s">
        <v>68</v>
      </c>
      <c r="G12" s="6" t="s">
        <v>15</v>
      </c>
      <c r="H12" s="6" t="s">
        <v>69</v>
      </c>
      <c r="I12" s="16">
        <v>40622</v>
      </c>
    </row>
    <row r="13" spans="1:12" x14ac:dyDescent="0.25">
      <c r="A13" s="16">
        <v>40628</v>
      </c>
      <c r="B13" s="6" t="s">
        <v>64</v>
      </c>
      <c r="C13" s="6" t="s">
        <v>72</v>
      </c>
      <c r="D13" s="6" t="s">
        <v>73</v>
      </c>
      <c r="E13" s="18">
        <v>13000</v>
      </c>
      <c r="F13" s="6" t="s">
        <v>68</v>
      </c>
      <c r="G13" s="6" t="s">
        <v>44</v>
      </c>
      <c r="H13" s="6" t="s">
        <v>75</v>
      </c>
      <c r="I13" s="16">
        <v>40628</v>
      </c>
    </row>
    <row r="14" spans="1:12" x14ac:dyDescent="0.25">
      <c r="A14" s="16">
        <v>40628</v>
      </c>
      <c r="B14" s="6" t="s">
        <v>76</v>
      </c>
      <c r="C14" s="6" t="s">
        <v>33</v>
      </c>
      <c r="D14" s="6" t="s">
        <v>77</v>
      </c>
      <c r="E14" s="18">
        <v>220</v>
      </c>
      <c r="F14" s="6" t="s">
        <v>68</v>
      </c>
      <c r="G14" s="6" t="s">
        <v>15</v>
      </c>
      <c r="H14" s="6" t="s">
        <v>79</v>
      </c>
      <c r="I14" s="16">
        <v>40628</v>
      </c>
    </row>
    <row r="15" spans="1:12" x14ac:dyDescent="0.25">
      <c r="A15" s="16">
        <v>40628</v>
      </c>
      <c r="B15" s="6" t="s">
        <v>76</v>
      </c>
      <c r="C15" s="6" t="s">
        <v>33</v>
      </c>
      <c r="D15" s="6" t="s">
        <v>80</v>
      </c>
      <c r="E15" s="18">
        <v>100</v>
      </c>
      <c r="F15" s="6" t="s">
        <v>68</v>
      </c>
      <c r="G15" s="6" t="s">
        <v>15</v>
      </c>
      <c r="H15" s="6" t="s">
        <v>82</v>
      </c>
      <c r="I15" s="16">
        <v>40628</v>
      </c>
    </row>
    <row r="16" spans="1:12" x14ac:dyDescent="0.25">
      <c r="A16" s="16">
        <v>40628</v>
      </c>
      <c r="B16" s="6" t="s">
        <v>83</v>
      </c>
      <c r="C16" s="6" t="s">
        <v>33</v>
      </c>
      <c r="D16" s="6" t="s">
        <v>84</v>
      </c>
      <c r="E16" s="18">
        <v>6400</v>
      </c>
      <c r="F16" s="6" t="s">
        <v>14</v>
      </c>
      <c r="G16" s="6" t="s">
        <v>15</v>
      </c>
      <c r="H16" s="6" t="s">
        <v>86</v>
      </c>
      <c r="I16" s="16">
        <v>40628</v>
      </c>
    </row>
    <row r="17" spans="1:9" x14ac:dyDescent="0.25">
      <c r="A17" s="16">
        <v>40633</v>
      </c>
      <c r="B17" s="6" t="s">
        <v>64</v>
      </c>
      <c r="C17" s="6" t="s">
        <v>39</v>
      </c>
      <c r="D17" s="6" t="s">
        <v>87</v>
      </c>
      <c r="E17" s="18">
        <v>100</v>
      </c>
      <c r="F17" s="6" t="s">
        <v>68</v>
      </c>
      <c r="G17" s="6" t="s">
        <v>15</v>
      </c>
      <c r="H17" s="6" t="s">
        <v>69</v>
      </c>
      <c r="I17" s="16">
        <v>40633</v>
      </c>
    </row>
    <row r="18" spans="1:9" x14ac:dyDescent="0.25">
      <c r="A18" s="16">
        <v>40633</v>
      </c>
      <c r="B18" s="6" t="s">
        <v>64</v>
      </c>
      <c r="C18" s="6" t="s">
        <v>39</v>
      </c>
      <c r="D18" s="6" t="s">
        <v>87</v>
      </c>
      <c r="E18" s="18">
        <v>-100</v>
      </c>
      <c r="F18" s="6" t="s">
        <v>68</v>
      </c>
      <c r="G18" s="6" t="s">
        <v>55</v>
      </c>
      <c r="H18" s="6" t="s">
        <v>69</v>
      </c>
      <c r="I18" s="16">
        <v>40633</v>
      </c>
    </row>
    <row r="19" spans="1:9" x14ac:dyDescent="0.25">
      <c r="A19" s="16">
        <v>40634</v>
      </c>
      <c r="B19" s="6" t="s">
        <v>19</v>
      </c>
      <c r="C19" s="6" t="s">
        <v>89</v>
      </c>
      <c r="D19" s="6" t="s">
        <v>21</v>
      </c>
      <c r="E19" s="18">
        <v>179</v>
      </c>
      <c r="F19" s="6" t="s">
        <v>14</v>
      </c>
      <c r="G19" s="6" t="s">
        <v>15</v>
      </c>
      <c r="H19" s="6" t="s">
        <v>23</v>
      </c>
      <c r="I19" s="16">
        <v>40664</v>
      </c>
    </row>
    <row r="20" spans="1:9" x14ac:dyDescent="0.25">
      <c r="A20" s="16">
        <v>40638</v>
      </c>
      <c r="B20" s="6" t="s">
        <v>32</v>
      </c>
      <c r="C20" s="6" t="s">
        <v>33</v>
      </c>
      <c r="D20" s="6" t="s">
        <v>34</v>
      </c>
      <c r="E20" s="18">
        <v>340</v>
      </c>
      <c r="F20" s="6" t="s">
        <v>14</v>
      </c>
      <c r="G20" s="6" t="s">
        <v>15</v>
      </c>
      <c r="H20" s="6" t="s">
        <v>36</v>
      </c>
      <c r="I20" s="16">
        <v>40638</v>
      </c>
    </row>
    <row r="21" spans="1:9" x14ac:dyDescent="0.25">
      <c r="A21" s="16">
        <v>40645</v>
      </c>
      <c r="B21" s="6" t="s">
        <v>51</v>
      </c>
      <c r="C21" s="6" t="s">
        <v>52</v>
      </c>
      <c r="D21" s="6" t="s">
        <v>53</v>
      </c>
      <c r="E21" s="18">
        <v>87</v>
      </c>
      <c r="F21" s="6" t="s">
        <v>14</v>
      </c>
      <c r="G21" s="6" t="s">
        <v>55</v>
      </c>
      <c r="H21" s="6" t="s">
        <v>56</v>
      </c>
      <c r="I21" s="16">
        <v>40645</v>
      </c>
    </row>
    <row r="22" spans="1:9" x14ac:dyDescent="0.25">
      <c r="A22" s="16">
        <v>40648</v>
      </c>
      <c r="B22" s="6" t="s">
        <v>38</v>
      </c>
      <c r="C22" s="6" t="s">
        <v>39</v>
      </c>
      <c r="D22" s="6" t="s">
        <v>40</v>
      </c>
      <c r="E22" s="18">
        <v>80</v>
      </c>
      <c r="F22" s="6" t="s">
        <v>14</v>
      </c>
      <c r="G22" s="6" t="s">
        <v>15</v>
      </c>
      <c r="H22" s="6" t="s">
        <v>42</v>
      </c>
      <c r="I22" s="16">
        <v>40648</v>
      </c>
    </row>
    <row r="23" spans="1:9" x14ac:dyDescent="0.25">
      <c r="A23" s="16">
        <v>40648</v>
      </c>
      <c r="B23" s="6" t="s">
        <v>38</v>
      </c>
      <c r="C23" s="6" t="s">
        <v>39</v>
      </c>
      <c r="D23" s="6" t="s">
        <v>40</v>
      </c>
      <c r="E23" s="18">
        <v>35</v>
      </c>
      <c r="F23" s="6" t="s">
        <v>14</v>
      </c>
      <c r="G23" s="6" t="s">
        <v>44</v>
      </c>
      <c r="H23" s="6" t="s">
        <v>42</v>
      </c>
      <c r="I23" s="16">
        <v>40648</v>
      </c>
    </row>
    <row r="24" spans="1:9" x14ac:dyDescent="0.25">
      <c r="A24" s="16">
        <v>40648</v>
      </c>
      <c r="B24" s="6" t="s">
        <v>45</v>
      </c>
      <c r="C24" s="6" t="s">
        <v>46</v>
      </c>
      <c r="D24" s="6" t="s">
        <v>47</v>
      </c>
      <c r="E24" s="18">
        <v>1000</v>
      </c>
      <c r="F24" s="6" t="s">
        <v>14</v>
      </c>
      <c r="G24" s="6" t="s">
        <v>15</v>
      </c>
      <c r="H24" s="6" t="s">
        <v>49</v>
      </c>
      <c r="I24" s="16">
        <v>40666</v>
      </c>
    </row>
    <row r="25" spans="1:9" x14ac:dyDescent="0.25">
      <c r="A25" s="16">
        <v>40653</v>
      </c>
      <c r="B25" s="6" t="s">
        <v>64</v>
      </c>
      <c r="C25" s="6" t="s">
        <v>65</v>
      </c>
      <c r="D25" s="6" t="s">
        <v>66</v>
      </c>
      <c r="E25" s="18">
        <v>-20000</v>
      </c>
      <c r="F25" s="6" t="s">
        <v>68</v>
      </c>
      <c r="G25" s="6" t="s">
        <v>44</v>
      </c>
      <c r="H25" s="6" t="s">
        <v>69</v>
      </c>
      <c r="I25" s="16">
        <v>40653</v>
      </c>
    </row>
    <row r="26" spans="1:9" x14ac:dyDescent="0.25">
      <c r="A26" s="16">
        <v>40653</v>
      </c>
      <c r="B26" s="6" t="s">
        <v>64</v>
      </c>
      <c r="C26" s="6" t="s">
        <v>65</v>
      </c>
      <c r="D26" s="6" t="s">
        <v>66</v>
      </c>
      <c r="E26" s="18">
        <v>20000</v>
      </c>
      <c r="F26" s="6" t="s">
        <v>68</v>
      </c>
      <c r="G26" s="6" t="s">
        <v>15</v>
      </c>
      <c r="H26" s="6" t="s">
        <v>69</v>
      </c>
      <c r="I26" s="16">
        <v>40653</v>
      </c>
    </row>
    <row r="27" spans="1:9" x14ac:dyDescent="0.25">
      <c r="A27" s="16">
        <v>40658</v>
      </c>
      <c r="B27" s="6" t="s">
        <v>101</v>
      </c>
      <c r="C27" s="6" t="s">
        <v>102</v>
      </c>
      <c r="D27" s="6" t="s">
        <v>103</v>
      </c>
      <c r="E27" s="18">
        <v>1300</v>
      </c>
      <c r="F27" s="6" t="s">
        <v>68</v>
      </c>
      <c r="G27" s="6" t="s">
        <v>15</v>
      </c>
      <c r="H27" s="6" t="s">
        <v>105</v>
      </c>
      <c r="I27" s="16">
        <v>40658</v>
      </c>
    </row>
    <row r="28" spans="1:9" x14ac:dyDescent="0.25">
      <c r="A28" s="16">
        <v>40659</v>
      </c>
      <c r="B28" s="6" t="s">
        <v>64</v>
      </c>
      <c r="C28" s="6" t="s">
        <v>72</v>
      </c>
      <c r="D28" s="6" t="s">
        <v>73</v>
      </c>
      <c r="E28" s="18">
        <v>20000</v>
      </c>
      <c r="F28" s="6" t="s">
        <v>68</v>
      </c>
      <c r="G28" s="6" t="s">
        <v>44</v>
      </c>
      <c r="H28" s="6" t="s">
        <v>75</v>
      </c>
      <c r="I28" s="16">
        <v>40659</v>
      </c>
    </row>
    <row r="29" spans="1:9" x14ac:dyDescent="0.25">
      <c r="A29" s="16">
        <v>40659</v>
      </c>
      <c r="B29" s="6" t="s">
        <v>107</v>
      </c>
      <c r="C29" s="6" t="s">
        <v>46</v>
      </c>
      <c r="D29" s="6" t="s">
        <v>108</v>
      </c>
      <c r="E29" s="18">
        <v>3000</v>
      </c>
      <c r="F29" s="6" t="s">
        <v>14</v>
      </c>
      <c r="G29" s="6" t="s">
        <v>15</v>
      </c>
      <c r="H29" s="6" t="s">
        <v>110</v>
      </c>
      <c r="I29" s="16">
        <v>40689</v>
      </c>
    </row>
    <row r="30" spans="1:9" x14ac:dyDescent="0.25">
      <c r="A30" s="16">
        <v>40659</v>
      </c>
      <c r="B30" s="6" t="s">
        <v>76</v>
      </c>
      <c r="C30" s="6" t="s">
        <v>33</v>
      </c>
      <c r="D30" s="6" t="s">
        <v>77</v>
      </c>
      <c r="E30" s="18">
        <v>220</v>
      </c>
      <c r="F30" s="6" t="s">
        <v>68</v>
      </c>
      <c r="G30" s="6" t="s">
        <v>15</v>
      </c>
      <c r="H30" s="6" t="s">
        <v>79</v>
      </c>
      <c r="I30" s="16">
        <v>40659</v>
      </c>
    </row>
    <row r="31" spans="1:9" x14ac:dyDescent="0.25">
      <c r="A31" s="16">
        <v>40659</v>
      </c>
      <c r="B31" s="6" t="s">
        <v>76</v>
      </c>
      <c r="C31" s="6" t="s">
        <v>33</v>
      </c>
      <c r="D31" s="6" t="s">
        <v>80</v>
      </c>
      <c r="E31" s="18">
        <v>100</v>
      </c>
      <c r="F31" s="6" t="s">
        <v>68</v>
      </c>
      <c r="G31" s="6" t="s">
        <v>15</v>
      </c>
      <c r="H31" s="6" t="s">
        <v>82</v>
      </c>
      <c r="I31" s="16">
        <v>40659</v>
      </c>
    </row>
    <row r="32" spans="1:9" x14ac:dyDescent="0.25">
      <c r="A32" s="16">
        <v>40659</v>
      </c>
      <c r="B32" s="6" t="s">
        <v>83</v>
      </c>
      <c r="C32" s="6" t="s">
        <v>33</v>
      </c>
      <c r="D32" s="6" t="s">
        <v>84</v>
      </c>
      <c r="E32" s="18">
        <v>6400</v>
      </c>
      <c r="F32" s="6" t="s">
        <v>14</v>
      </c>
      <c r="G32" s="6" t="s">
        <v>15</v>
      </c>
      <c r="H32" s="6" t="s">
        <v>86</v>
      </c>
      <c r="I32" s="16">
        <v>40659</v>
      </c>
    </row>
    <row r="33" spans="1:9" x14ac:dyDescent="0.25">
      <c r="A33" s="16">
        <v>40662</v>
      </c>
      <c r="B33" s="6" t="s">
        <v>113</v>
      </c>
      <c r="C33" s="6" t="s">
        <v>114</v>
      </c>
      <c r="D33" s="6" t="s">
        <v>115</v>
      </c>
      <c r="E33" s="18">
        <v>41</v>
      </c>
      <c r="F33" s="6" t="s">
        <v>14</v>
      </c>
      <c r="G33" s="6" t="s">
        <v>55</v>
      </c>
      <c r="H33" s="6" t="s">
        <v>117</v>
      </c>
      <c r="I33" s="16">
        <v>40692</v>
      </c>
    </row>
    <row r="34" spans="1:9" x14ac:dyDescent="0.25">
      <c r="A34" s="16">
        <v>40663</v>
      </c>
      <c r="B34" s="6" t="s">
        <v>64</v>
      </c>
      <c r="C34" s="6" t="s">
        <v>39</v>
      </c>
      <c r="D34" s="6" t="s">
        <v>87</v>
      </c>
      <c r="E34" s="18">
        <v>100</v>
      </c>
      <c r="F34" s="6" t="s">
        <v>68</v>
      </c>
      <c r="G34" s="6" t="s">
        <v>15</v>
      </c>
      <c r="H34" s="6" t="s">
        <v>69</v>
      </c>
      <c r="I34" s="16">
        <v>40663</v>
      </c>
    </row>
    <row r="35" spans="1:9" x14ac:dyDescent="0.25">
      <c r="A35" s="16">
        <v>40663</v>
      </c>
      <c r="B35" s="6" t="s">
        <v>64</v>
      </c>
      <c r="C35" s="6" t="s">
        <v>39</v>
      </c>
      <c r="D35" s="6" t="s">
        <v>87</v>
      </c>
      <c r="E35" s="18">
        <v>-100</v>
      </c>
      <c r="F35" s="6" t="s">
        <v>68</v>
      </c>
      <c r="G35" s="6" t="s">
        <v>55</v>
      </c>
      <c r="H35" s="6" t="s">
        <v>69</v>
      </c>
      <c r="I35" s="16">
        <v>40663</v>
      </c>
    </row>
    <row r="36" spans="1:9" x14ac:dyDescent="0.25">
      <c r="A36" s="16">
        <v>40664</v>
      </c>
      <c r="B36" s="6" t="s">
        <v>19</v>
      </c>
      <c r="C36" s="6" t="s">
        <v>120</v>
      </c>
      <c r="D36" s="6" t="s">
        <v>21</v>
      </c>
      <c r="E36" s="18">
        <v>179</v>
      </c>
      <c r="F36" s="6" t="s">
        <v>14</v>
      </c>
      <c r="G36" s="6" t="s">
        <v>15</v>
      </c>
      <c r="H36" s="6" t="s">
        <v>23</v>
      </c>
      <c r="I36" s="16">
        <v>40694</v>
      </c>
    </row>
    <row r="37" spans="1:9" x14ac:dyDescent="0.25">
      <c r="A37" s="16">
        <v>40664</v>
      </c>
      <c r="B37" s="6" t="s">
        <v>122</v>
      </c>
      <c r="C37" s="6" t="s">
        <v>46</v>
      </c>
      <c r="D37" s="6" t="s">
        <v>123</v>
      </c>
      <c r="E37" s="18">
        <v>220</v>
      </c>
      <c r="F37" s="6" t="s">
        <v>14</v>
      </c>
      <c r="G37" s="6" t="s">
        <v>15</v>
      </c>
      <c r="H37" s="6" t="s">
        <v>124</v>
      </c>
      <c r="I37" s="16">
        <v>40694</v>
      </c>
    </row>
    <row r="38" spans="1:9" x14ac:dyDescent="0.25">
      <c r="A38" s="16">
        <v>40668</v>
      </c>
      <c r="B38" s="6" t="s">
        <v>32</v>
      </c>
      <c r="C38" s="6" t="s">
        <v>33</v>
      </c>
      <c r="D38" s="6" t="s">
        <v>34</v>
      </c>
      <c r="E38" s="18">
        <v>340</v>
      </c>
      <c r="F38" s="6" t="s">
        <v>14</v>
      </c>
      <c r="G38" s="6" t="s">
        <v>15</v>
      </c>
      <c r="H38" s="6" t="s">
        <v>36</v>
      </c>
      <c r="I38" s="16">
        <v>40668</v>
      </c>
    </row>
    <row r="39" spans="1:9" x14ac:dyDescent="0.25">
      <c r="A39" s="16">
        <v>40670</v>
      </c>
      <c r="B39" s="6" t="s">
        <v>127</v>
      </c>
      <c r="C39" s="6" t="s">
        <v>128</v>
      </c>
      <c r="D39" s="6" t="s">
        <v>129</v>
      </c>
      <c r="E39" s="18">
        <v>563</v>
      </c>
      <c r="F39" s="6" t="s">
        <v>14</v>
      </c>
      <c r="G39" s="6" t="s">
        <v>15</v>
      </c>
      <c r="H39" s="6" t="s">
        <v>62</v>
      </c>
      <c r="I39" s="16">
        <v>40670</v>
      </c>
    </row>
    <row r="40" spans="1:9" x14ac:dyDescent="0.25">
      <c r="A40" s="16">
        <v>40670</v>
      </c>
      <c r="B40" s="6" t="s">
        <v>131</v>
      </c>
      <c r="C40" s="6" t="s">
        <v>46</v>
      </c>
      <c r="D40" s="6" t="s">
        <v>132</v>
      </c>
      <c r="E40" s="18">
        <v>982</v>
      </c>
      <c r="F40" s="6" t="s">
        <v>14</v>
      </c>
      <c r="G40" s="6" t="s">
        <v>15</v>
      </c>
      <c r="H40" s="6" t="s">
        <v>134</v>
      </c>
      <c r="I40" s="16">
        <v>40700</v>
      </c>
    </row>
    <row r="41" spans="1:9" x14ac:dyDescent="0.25">
      <c r="A41" s="16">
        <v>40678</v>
      </c>
      <c r="B41" s="6" t="s">
        <v>38</v>
      </c>
      <c r="C41" s="6" t="s">
        <v>39</v>
      </c>
      <c r="D41" s="6" t="s">
        <v>40</v>
      </c>
      <c r="E41" s="18">
        <v>80</v>
      </c>
      <c r="F41" s="6" t="s">
        <v>14</v>
      </c>
      <c r="G41" s="6" t="s">
        <v>15</v>
      </c>
      <c r="H41" s="6" t="s">
        <v>42</v>
      </c>
      <c r="I41" s="16">
        <v>40678</v>
      </c>
    </row>
    <row r="42" spans="1:9" x14ac:dyDescent="0.25">
      <c r="A42" s="16">
        <v>40678</v>
      </c>
      <c r="B42" s="6" t="s">
        <v>38</v>
      </c>
      <c r="C42" s="6" t="s">
        <v>39</v>
      </c>
      <c r="D42" s="6" t="s">
        <v>40</v>
      </c>
      <c r="E42" s="18">
        <v>35</v>
      </c>
      <c r="F42" s="6" t="s">
        <v>14</v>
      </c>
      <c r="G42" s="6" t="s">
        <v>44</v>
      </c>
      <c r="H42" s="6" t="s">
        <v>42</v>
      </c>
      <c r="I42" s="16">
        <v>40678</v>
      </c>
    </row>
    <row r="43" spans="1:9" x14ac:dyDescent="0.25">
      <c r="A43" s="16">
        <v>40678</v>
      </c>
      <c r="B43" s="6" t="s">
        <v>45</v>
      </c>
      <c r="C43" s="6" t="s">
        <v>46</v>
      </c>
      <c r="D43" s="6" t="s">
        <v>47</v>
      </c>
      <c r="E43" s="18">
        <v>1000</v>
      </c>
      <c r="F43" s="6" t="s">
        <v>14</v>
      </c>
      <c r="G43" s="6" t="s">
        <v>15</v>
      </c>
      <c r="H43" s="6" t="s">
        <v>49</v>
      </c>
      <c r="I43" s="16">
        <v>40696</v>
      </c>
    </row>
    <row r="44" spans="1:9" x14ac:dyDescent="0.25">
      <c r="A44" s="16">
        <v>40683</v>
      </c>
      <c r="B44" s="6" t="s">
        <v>64</v>
      </c>
      <c r="C44" s="6" t="s">
        <v>65</v>
      </c>
      <c r="D44" s="6" t="s">
        <v>66</v>
      </c>
      <c r="E44" s="18">
        <v>-20000</v>
      </c>
      <c r="F44" s="6" t="s">
        <v>68</v>
      </c>
      <c r="G44" s="6" t="s">
        <v>44</v>
      </c>
      <c r="H44" s="6" t="s">
        <v>69</v>
      </c>
      <c r="I44" s="16">
        <v>40683</v>
      </c>
    </row>
    <row r="45" spans="1:9" x14ac:dyDescent="0.25">
      <c r="A45" s="16">
        <v>40683</v>
      </c>
      <c r="B45" s="6" t="s">
        <v>64</v>
      </c>
      <c r="C45" s="6" t="s">
        <v>65</v>
      </c>
      <c r="D45" s="6" t="s">
        <v>66</v>
      </c>
      <c r="E45" s="18">
        <v>20000</v>
      </c>
      <c r="F45" s="6" t="s">
        <v>68</v>
      </c>
      <c r="G45" s="6" t="s">
        <v>15</v>
      </c>
      <c r="H45" s="6" t="s">
        <v>69</v>
      </c>
      <c r="I45" s="16">
        <v>40683</v>
      </c>
    </row>
    <row r="46" spans="1:9" x14ac:dyDescent="0.25">
      <c r="A46" s="16">
        <v>40689</v>
      </c>
      <c r="B46" s="6" t="s">
        <v>64</v>
      </c>
      <c r="C46" s="6" t="s">
        <v>72</v>
      </c>
      <c r="D46" s="6" t="s">
        <v>73</v>
      </c>
      <c r="E46" s="18">
        <v>20000</v>
      </c>
      <c r="F46" s="6" t="s">
        <v>68</v>
      </c>
      <c r="G46" s="6" t="s">
        <v>44</v>
      </c>
      <c r="H46" s="6" t="s">
        <v>75</v>
      </c>
      <c r="I46" s="16">
        <v>40689</v>
      </c>
    </row>
    <row r="47" spans="1:9" x14ac:dyDescent="0.25">
      <c r="A47" s="16">
        <v>40689</v>
      </c>
      <c r="B47" s="6" t="s">
        <v>76</v>
      </c>
      <c r="C47" s="6" t="s">
        <v>33</v>
      </c>
      <c r="D47" s="6" t="s">
        <v>77</v>
      </c>
      <c r="E47" s="18">
        <v>220</v>
      </c>
      <c r="F47" s="6" t="s">
        <v>68</v>
      </c>
      <c r="G47" s="6" t="s">
        <v>15</v>
      </c>
      <c r="H47" s="6" t="s">
        <v>79</v>
      </c>
      <c r="I47" s="16">
        <v>40689</v>
      </c>
    </row>
    <row r="48" spans="1:9" x14ac:dyDescent="0.25">
      <c r="A48" s="16">
        <v>40689</v>
      </c>
      <c r="B48" s="6" t="s">
        <v>76</v>
      </c>
      <c r="C48" s="6" t="s">
        <v>33</v>
      </c>
      <c r="D48" s="6" t="s">
        <v>80</v>
      </c>
      <c r="E48" s="18">
        <v>100</v>
      </c>
      <c r="F48" s="6" t="s">
        <v>68</v>
      </c>
      <c r="G48" s="6" t="s">
        <v>15</v>
      </c>
      <c r="H48" s="6" t="s">
        <v>82</v>
      </c>
      <c r="I48" s="16">
        <v>40689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DF1-22D5-47BB-B0D6-F311F1280582}">
  <dimension ref="A1:A26"/>
  <sheetViews>
    <sheetView workbookViewId="0"/>
  </sheetViews>
  <sheetFormatPr defaultRowHeight="15" x14ac:dyDescent="0.25"/>
  <cols>
    <col min="1" max="1" width="22.42578125" customWidth="1"/>
  </cols>
  <sheetData>
    <row r="1" spans="1:1" s="20" customFormat="1" ht="20.25" customHeight="1" x14ac:dyDescent="0.25">
      <c r="A1" s="20" t="s">
        <v>4</v>
      </c>
    </row>
    <row r="2" spans="1:1" x14ac:dyDescent="0.25">
      <c r="A2">
        <v>5100</v>
      </c>
    </row>
    <row r="3" spans="1:1" x14ac:dyDescent="0.25">
      <c r="A3">
        <v>179</v>
      </c>
    </row>
    <row r="4" spans="1:1" x14ac:dyDescent="0.25">
      <c r="A4">
        <v>478</v>
      </c>
    </row>
    <row r="5" spans="1:1" x14ac:dyDescent="0.25">
      <c r="A5">
        <v>340</v>
      </c>
    </row>
    <row r="6" spans="1:1" x14ac:dyDescent="0.25">
      <c r="A6">
        <v>50</v>
      </c>
    </row>
    <row r="7" spans="1:1" x14ac:dyDescent="0.25">
      <c r="A7">
        <v>35</v>
      </c>
    </row>
    <row r="8" spans="1:1" x14ac:dyDescent="0.25">
      <c r="A8">
        <v>1000</v>
      </c>
    </row>
    <row r="9" spans="1:1" x14ac:dyDescent="0.25">
      <c r="A9">
        <v>90</v>
      </c>
    </row>
    <row r="10" spans="1:1" x14ac:dyDescent="0.25">
      <c r="A10">
        <v>200</v>
      </c>
    </row>
    <row r="11" spans="1:1" x14ac:dyDescent="0.25">
      <c r="A11">
        <v>-15000</v>
      </c>
    </row>
    <row r="12" spans="1:1" x14ac:dyDescent="0.25">
      <c r="A12">
        <v>15000</v>
      </c>
    </row>
    <row r="13" spans="1:1" x14ac:dyDescent="0.25">
      <c r="A13">
        <v>13000</v>
      </c>
    </row>
    <row r="14" spans="1:1" x14ac:dyDescent="0.25">
      <c r="A14">
        <v>220</v>
      </c>
    </row>
    <row r="15" spans="1:1" x14ac:dyDescent="0.25">
      <c r="A15">
        <v>100</v>
      </c>
    </row>
    <row r="16" spans="1:1" x14ac:dyDescent="0.25">
      <c r="A16">
        <v>6400</v>
      </c>
    </row>
    <row r="17" spans="1:1" x14ac:dyDescent="0.25">
      <c r="A17">
        <v>-100</v>
      </c>
    </row>
    <row r="18" spans="1:1" x14ac:dyDescent="0.25">
      <c r="A18">
        <v>87</v>
      </c>
    </row>
    <row r="19" spans="1:1" x14ac:dyDescent="0.25">
      <c r="A19">
        <v>80</v>
      </c>
    </row>
    <row r="20" spans="1:1" x14ac:dyDescent="0.25">
      <c r="A20">
        <v>-20000</v>
      </c>
    </row>
    <row r="21" spans="1:1" x14ac:dyDescent="0.25">
      <c r="A21">
        <v>20000</v>
      </c>
    </row>
    <row r="22" spans="1:1" x14ac:dyDescent="0.25">
      <c r="A22">
        <v>1300</v>
      </c>
    </row>
    <row r="23" spans="1:1" x14ac:dyDescent="0.25">
      <c r="A23">
        <v>3000</v>
      </c>
    </row>
    <row r="24" spans="1:1" x14ac:dyDescent="0.25">
      <c r="A24">
        <v>41</v>
      </c>
    </row>
    <row r="25" spans="1:1" x14ac:dyDescent="0.25">
      <c r="A25">
        <v>563</v>
      </c>
    </row>
    <row r="26" spans="1:1" x14ac:dyDescent="0.25">
      <c r="A26">
        <v>982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1F72-3535-44DA-9494-CF01A2414D97}">
  <dimension ref="A3:N50"/>
  <sheetViews>
    <sheetView tabSelected="1" workbookViewId="0">
      <selection activeCell="A3" sqref="A3"/>
    </sheetView>
  </sheetViews>
  <sheetFormatPr defaultRowHeight="15" x14ac:dyDescent="0.25"/>
  <cols>
    <col min="1" max="1" width="16.85546875" customWidth="1"/>
    <col min="2" max="2" width="10.5703125" customWidth="1"/>
    <col min="3" max="3" width="12.28515625" customWidth="1"/>
    <col min="4" max="4" width="13.28515625" customWidth="1"/>
    <col min="5" max="5" width="22" customWidth="1"/>
    <col min="6" max="6" width="11.140625" customWidth="1"/>
    <col min="7" max="7" width="12.42578125" customWidth="1"/>
    <col min="8" max="8" width="15.28515625" customWidth="1"/>
    <col min="9" max="9" width="15.5703125" customWidth="1"/>
    <col min="13" max="13" width="13.140625" bestFit="1" customWidth="1"/>
    <col min="14" max="14" width="27" bestFit="1" customWidth="1"/>
  </cols>
  <sheetData>
    <row r="3" spans="1:14" s="20" customFormat="1" ht="37.5" customHeight="1" x14ac:dyDescent="0.25">
      <c r="A3" s="21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</row>
    <row r="4" spans="1:14" x14ac:dyDescent="0.25">
      <c r="A4" s="8" t="s">
        <v>9</v>
      </c>
      <c r="B4" s="1" t="s">
        <v>10</v>
      </c>
      <c r="C4" s="1" t="s">
        <v>11</v>
      </c>
      <c r="D4" s="1" t="s">
        <v>12</v>
      </c>
      <c r="E4" s="2" t="s">
        <v>13</v>
      </c>
      <c r="F4" s="3" t="s">
        <v>14</v>
      </c>
      <c r="G4" s="4" t="s">
        <v>15</v>
      </c>
      <c r="H4" s="1" t="s">
        <v>16</v>
      </c>
      <c r="I4" s="9" t="s">
        <v>17</v>
      </c>
      <c r="M4" s="5" t="s">
        <v>140</v>
      </c>
      <c r="N4" t="s">
        <v>139</v>
      </c>
    </row>
    <row r="5" spans="1:14" x14ac:dyDescent="0.25">
      <c r="A5" s="8" t="s">
        <v>18</v>
      </c>
      <c r="B5" s="1" t="s">
        <v>19</v>
      </c>
      <c r="C5" s="1" t="s">
        <v>20</v>
      </c>
      <c r="D5" s="1" t="s">
        <v>21</v>
      </c>
      <c r="E5" s="2" t="s">
        <v>22</v>
      </c>
      <c r="F5" s="3" t="s">
        <v>14</v>
      </c>
      <c r="G5" s="4" t="s">
        <v>15</v>
      </c>
      <c r="H5" s="1" t="s">
        <v>23</v>
      </c>
      <c r="I5" s="9" t="s">
        <v>24</v>
      </c>
      <c r="M5" s="7" t="s">
        <v>29</v>
      </c>
      <c r="N5" s="6">
        <v>0</v>
      </c>
    </row>
    <row r="6" spans="1:14" x14ac:dyDescent="0.25">
      <c r="A6" s="8" t="s">
        <v>17</v>
      </c>
      <c r="B6" s="1" t="s">
        <v>25</v>
      </c>
      <c r="C6" s="1" t="s">
        <v>26</v>
      </c>
      <c r="D6" s="1" t="s">
        <v>27</v>
      </c>
      <c r="E6" s="2" t="s">
        <v>28</v>
      </c>
      <c r="F6" s="3" t="s">
        <v>14</v>
      </c>
      <c r="G6" s="4" t="s">
        <v>15</v>
      </c>
      <c r="H6" s="1" t="s">
        <v>29</v>
      </c>
      <c r="I6" s="9" t="s">
        <v>30</v>
      </c>
      <c r="M6" s="7" t="s">
        <v>62</v>
      </c>
      <c r="N6" s="6">
        <v>0</v>
      </c>
    </row>
    <row r="7" spans="1:14" x14ac:dyDescent="0.25">
      <c r="A7" s="8" t="s">
        <v>31</v>
      </c>
      <c r="B7" s="1" t="s">
        <v>32</v>
      </c>
      <c r="C7" s="1" t="s">
        <v>33</v>
      </c>
      <c r="D7" s="1" t="s">
        <v>34</v>
      </c>
      <c r="E7" s="2" t="s">
        <v>35</v>
      </c>
      <c r="F7" s="3" t="s">
        <v>14</v>
      </c>
      <c r="G7" s="4" t="s">
        <v>15</v>
      </c>
      <c r="H7" s="1" t="s">
        <v>36</v>
      </c>
      <c r="I7" s="9" t="s">
        <v>31</v>
      </c>
      <c r="M7" s="7" t="s">
        <v>141</v>
      </c>
      <c r="N7" s="6">
        <v>0</v>
      </c>
    </row>
    <row r="8" spans="1:14" x14ac:dyDescent="0.25">
      <c r="A8" s="8" t="s">
        <v>37</v>
      </c>
      <c r="B8" s="1" t="s">
        <v>38</v>
      </c>
      <c r="C8" s="1" t="s">
        <v>39</v>
      </c>
      <c r="D8" s="1" t="s">
        <v>40</v>
      </c>
      <c r="E8" s="2" t="s">
        <v>41</v>
      </c>
      <c r="F8" s="3" t="s">
        <v>14</v>
      </c>
      <c r="G8" s="4" t="s">
        <v>15</v>
      </c>
      <c r="H8" s="1" t="s">
        <v>42</v>
      </c>
      <c r="I8" s="9" t="s">
        <v>37</v>
      </c>
    </row>
    <row r="9" spans="1:14" x14ac:dyDescent="0.25">
      <c r="A9" s="8" t="s">
        <v>37</v>
      </c>
      <c r="B9" s="1" t="s">
        <v>38</v>
      </c>
      <c r="C9" s="1" t="s">
        <v>39</v>
      </c>
      <c r="D9" s="1" t="s">
        <v>40</v>
      </c>
      <c r="E9" s="2" t="s">
        <v>43</v>
      </c>
      <c r="F9" s="3" t="s">
        <v>14</v>
      </c>
      <c r="G9" s="4" t="s">
        <v>44</v>
      </c>
      <c r="H9" s="1" t="s">
        <v>42</v>
      </c>
      <c r="I9" s="9" t="s">
        <v>37</v>
      </c>
    </row>
    <row r="10" spans="1:14" x14ac:dyDescent="0.25">
      <c r="A10" s="8" t="s">
        <v>37</v>
      </c>
      <c r="B10" s="1" t="s">
        <v>45</v>
      </c>
      <c r="C10" s="1" t="s">
        <v>46</v>
      </c>
      <c r="D10" s="1" t="s">
        <v>47</v>
      </c>
      <c r="E10" s="2" t="s">
        <v>48</v>
      </c>
      <c r="F10" s="3" t="s">
        <v>14</v>
      </c>
      <c r="G10" s="4" t="s">
        <v>15</v>
      </c>
      <c r="H10" s="1" t="s">
        <v>49</v>
      </c>
      <c r="I10" s="9" t="s">
        <v>50</v>
      </c>
    </row>
    <row r="11" spans="1:14" x14ac:dyDescent="0.25">
      <c r="A11" s="8" t="s">
        <v>37</v>
      </c>
      <c r="B11" s="1" t="s">
        <v>51</v>
      </c>
      <c r="C11" s="1" t="s">
        <v>52</v>
      </c>
      <c r="D11" s="1" t="s">
        <v>53</v>
      </c>
      <c r="E11" s="2" t="s">
        <v>54</v>
      </c>
      <c r="F11" s="3" t="s">
        <v>14</v>
      </c>
      <c r="G11" s="4" t="s">
        <v>55</v>
      </c>
      <c r="H11" s="1" t="s">
        <v>56</v>
      </c>
      <c r="I11" s="9" t="s">
        <v>37</v>
      </c>
    </row>
    <row r="12" spans="1:14" x14ac:dyDescent="0.25">
      <c r="A12" s="8" t="s">
        <v>57</v>
      </c>
      <c r="B12" s="1" t="s">
        <v>58</v>
      </c>
      <c r="C12" s="1" t="s">
        <v>59</v>
      </c>
      <c r="D12" s="1" t="s">
        <v>60</v>
      </c>
      <c r="E12" s="2" t="s">
        <v>61</v>
      </c>
      <c r="F12" s="3" t="s">
        <v>14</v>
      </c>
      <c r="G12" s="4" t="s">
        <v>15</v>
      </c>
      <c r="H12" s="1" t="s">
        <v>62</v>
      </c>
      <c r="I12" s="9" t="s">
        <v>57</v>
      </c>
    </row>
    <row r="13" spans="1:14" x14ac:dyDescent="0.25">
      <c r="A13" s="8" t="s">
        <v>63</v>
      </c>
      <c r="B13" s="1" t="s">
        <v>64</v>
      </c>
      <c r="C13" s="1" t="s">
        <v>65</v>
      </c>
      <c r="D13" s="1" t="s">
        <v>66</v>
      </c>
      <c r="E13" s="2" t="s">
        <v>67</v>
      </c>
      <c r="F13" s="3" t="s">
        <v>68</v>
      </c>
      <c r="G13" s="4" t="s">
        <v>44</v>
      </c>
      <c r="H13" s="1" t="s">
        <v>69</v>
      </c>
      <c r="I13" s="9" t="s">
        <v>63</v>
      </c>
    </row>
    <row r="14" spans="1:14" x14ac:dyDescent="0.25">
      <c r="A14" s="8" t="s">
        <v>63</v>
      </c>
      <c r="B14" s="1" t="s">
        <v>64</v>
      </c>
      <c r="C14" s="1" t="s">
        <v>65</v>
      </c>
      <c r="D14" s="1" t="s">
        <v>66</v>
      </c>
      <c r="E14" s="2" t="s">
        <v>70</v>
      </c>
      <c r="F14" s="3" t="s">
        <v>68</v>
      </c>
      <c r="G14" s="4" t="s">
        <v>15</v>
      </c>
      <c r="H14" s="1" t="s">
        <v>69</v>
      </c>
      <c r="I14" s="9" t="s">
        <v>63</v>
      </c>
    </row>
    <row r="15" spans="1:14" x14ac:dyDescent="0.25">
      <c r="A15" s="8" t="s">
        <v>71</v>
      </c>
      <c r="B15" s="1" t="s">
        <v>64</v>
      </c>
      <c r="C15" s="1" t="s">
        <v>72</v>
      </c>
      <c r="D15" s="1" t="s">
        <v>73</v>
      </c>
      <c r="E15" s="2" t="s">
        <v>74</v>
      </c>
      <c r="F15" s="3" t="s">
        <v>68</v>
      </c>
      <c r="G15" s="4" t="s">
        <v>44</v>
      </c>
      <c r="H15" s="1" t="s">
        <v>75</v>
      </c>
      <c r="I15" s="9" t="s">
        <v>71</v>
      </c>
    </row>
    <row r="16" spans="1:14" x14ac:dyDescent="0.25">
      <c r="A16" s="8" t="s">
        <v>71</v>
      </c>
      <c r="B16" s="1" t="s">
        <v>76</v>
      </c>
      <c r="C16" s="1" t="s">
        <v>33</v>
      </c>
      <c r="D16" s="1" t="s">
        <v>77</v>
      </c>
      <c r="E16" s="2" t="s">
        <v>78</v>
      </c>
      <c r="F16" s="3" t="s">
        <v>68</v>
      </c>
      <c r="G16" s="4" t="s">
        <v>15</v>
      </c>
      <c r="H16" s="1" t="s">
        <v>79</v>
      </c>
      <c r="I16" s="9" t="s">
        <v>71</v>
      </c>
    </row>
    <row r="17" spans="1:9" x14ac:dyDescent="0.25">
      <c r="A17" s="8" t="s">
        <v>71</v>
      </c>
      <c r="B17" s="1" t="s">
        <v>76</v>
      </c>
      <c r="C17" s="1" t="s">
        <v>33</v>
      </c>
      <c r="D17" s="1" t="s">
        <v>80</v>
      </c>
      <c r="E17" s="2" t="s">
        <v>81</v>
      </c>
      <c r="F17" s="3" t="s">
        <v>68</v>
      </c>
      <c r="G17" s="4" t="s">
        <v>15</v>
      </c>
      <c r="H17" s="1" t="s">
        <v>82</v>
      </c>
      <c r="I17" s="9" t="s">
        <v>71</v>
      </c>
    </row>
    <row r="18" spans="1:9" x14ac:dyDescent="0.25">
      <c r="A18" s="8" t="s">
        <v>71</v>
      </c>
      <c r="B18" s="1" t="s">
        <v>83</v>
      </c>
      <c r="C18" s="1" t="s">
        <v>33</v>
      </c>
      <c r="D18" s="1" t="s">
        <v>84</v>
      </c>
      <c r="E18" s="2" t="s">
        <v>85</v>
      </c>
      <c r="F18" s="3" t="s">
        <v>14</v>
      </c>
      <c r="G18" s="4" t="s">
        <v>15</v>
      </c>
      <c r="H18" s="1" t="s">
        <v>86</v>
      </c>
      <c r="I18" s="9" t="s">
        <v>71</v>
      </c>
    </row>
    <row r="19" spans="1:9" x14ac:dyDescent="0.25">
      <c r="A19" s="8" t="s">
        <v>24</v>
      </c>
      <c r="B19" s="1" t="s">
        <v>64</v>
      </c>
      <c r="C19" s="1" t="s">
        <v>39</v>
      </c>
      <c r="D19" s="1" t="s">
        <v>87</v>
      </c>
      <c r="E19" s="2" t="s">
        <v>81</v>
      </c>
      <c r="F19" s="3" t="s">
        <v>68</v>
      </c>
      <c r="G19" s="4" t="s">
        <v>15</v>
      </c>
      <c r="H19" s="1" t="s">
        <v>69</v>
      </c>
      <c r="I19" s="9" t="s">
        <v>24</v>
      </c>
    </row>
    <row r="20" spans="1:9" x14ac:dyDescent="0.25">
      <c r="A20" s="8" t="s">
        <v>24</v>
      </c>
      <c r="B20" s="1" t="s">
        <v>64</v>
      </c>
      <c r="C20" s="1" t="s">
        <v>39</v>
      </c>
      <c r="D20" s="1" t="s">
        <v>87</v>
      </c>
      <c r="E20" s="2" t="s">
        <v>88</v>
      </c>
      <c r="F20" s="3" t="s">
        <v>68</v>
      </c>
      <c r="G20" s="4" t="s">
        <v>55</v>
      </c>
      <c r="H20" s="1" t="s">
        <v>69</v>
      </c>
      <c r="I20" s="9" t="s">
        <v>24</v>
      </c>
    </row>
    <row r="21" spans="1:9" x14ac:dyDescent="0.25">
      <c r="A21" s="8" t="s">
        <v>30</v>
      </c>
      <c r="B21" s="1" t="s">
        <v>19</v>
      </c>
      <c r="C21" s="1" t="s">
        <v>89</v>
      </c>
      <c r="D21" s="1" t="s">
        <v>21</v>
      </c>
      <c r="E21" s="2" t="s">
        <v>22</v>
      </c>
      <c r="F21" s="3" t="s">
        <v>14</v>
      </c>
      <c r="G21" s="4" t="s">
        <v>15</v>
      </c>
      <c r="H21" s="1" t="s">
        <v>23</v>
      </c>
      <c r="I21" s="9" t="s">
        <v>90</v>
      </c>
    </row>
    <row r="22" spans="1:9" x14ac:dyDescent="0.25">
      <c r="A22" s="8" t="s">
        <v>91</v>
      </c>
      <c r="B22" s="1" t="s">
        <v>32</v>
      </c>
      <c r="C22" s="1" t="s">
        <v>33</v>
      </c>
      <c r="D22" s="1" t="s">
        <v>34</v>
      </c>
      <c r="E22" s="2" t="s">
        <v>35</v>
      </c>
      <c r="F22" s="3" t="s">
        <v>14</v>
      </c>
      <c r="G22" s="4" t="s">
        <v>15</v>
      </c>
      <c r="H22" s="1" t="s">
        <v>36</v>
      </c>
      <c r="I22" s="9" t="s">
        <v>91</v>
      </c>
    </row>
    <row r="23" spans="1:9" x14ac:dyDescent="0.25">
      <c r="A23" s="8" t="s">
        <v>92</v>
      </c>
      <c r="B23" s="1" t="s">
        <v>51</v>
      </c>
      <c r="C23" s="1" t="s">
        <v>52</v>
      </c>
      <c r="D23" s="1" t="s">
        <v>53</v>
      </c>
      <c r="E23" s="2" t="s">
        <v>93</v>
      </c>
      <c r="F23" s="3" t="s">
        <v>14</v>
      </c>
      <c r="G23" s="4" t="s">
        <v>55</v>
      </c>
      <c r="H23" s="1" t="s">
        <v>56</v>
      </c>
      <c r="I23" s="9" t="s">
        <v>92</v>
      </c>
    </row>
    <row r="24" spans="1:9" x14ac:dyDescent="0.25">
      <c r="A24" s="8" t="s">
        <v>94</v>
      </c>
      <c r="B24" s="1" t="s">
        <v>38</v>
      </c>
      <c r="C24" s="1" t="s">
        <v>39</v>
      </c>
      <c r="D24" s="1" t="s">
        <v>40</v>
      </c>
      <c r="E24" s="2" t="s">
        <v>95</v>
      </c>
      <c r="F24" s="3" t="s">
        <v>14</v>
      </c>
      <c r="G24" s="4" t="s">
        <v>15</v>
      </c>
      <c r="H24" s="1" t="s">
        <v>42</v>
      </c>
      <c r="I24" s="9" t="s">
        <v>94</v>
      </c>
    </row>
    <row r="25" spans="1:9" x14ac:dyDescent="0.25">
      <c r="A25" s="8" t="s">
        <v>94</v>
      </c>
      <c r="B25" s="1" t="s">
        <v>38</v>
      </c>
      <c r="C25" s="1" t="s">
        <v>39</v>
      </c>
      <c r="D25" s="1" t="s">
        <v>40</v>
      </c>
      <c r="E25" s="2" t="s">
        <v>43</v>
      </c>
      <c r="F25" s="3" t="s">
        <v>14</v>
      </c>
      <c r="G25" s="4" t="s">
        <v>44</v>
      </c>
      <c r="H25" s="1" t="s">
        <v>42</v>
      </c>
      <c r="I25" s="9" t="s">
        <v>94</v>
      </c>
    </row>
    <row r="26" spans="1:9" x14ac:dyDescent="0.25">
      <c r="A26" s="8" t="s">
        <v>94</v>
      </c>
      <c r="B26" s="1" t="s">
        <v>45</v>
      </c>
      <c r="C26" s="1" t="s">
        <v>46</v>
      </c>
      <c r="D26" s="1" t="s">
        <v>47</v>
      </c>
      <c r="E26" s="2" t="s">
        <v>48</v>
      </c>
      <c r="F26" s="3" t="s">
        <v>14</v>
      </c>
      <c r="G26" s="4" t="s">
        <v>15</v>
      </c>
      <c r="H26" s="1" t="s">
        <v>49</v>
      </c>
      <c r="I26" s="9" t="s">
        <v>96</v>
      </c>
    </row>
    <row r="27" spans="1:9" x14ac:dyDescent="0.25">
      <c r="A27" s="8" t="s">
        <v>97</v>
      </c>
      <c r="B27" s="1" t="s">
        <v>64</v>
      </c>
      <c r="C27" s="1" t="s">
        <v>65</v>
      </c>
      <c r="D27" s="1" t="s">
        <v>66</v>
      </c>
      <c r="E27" s="2" t="s">
        <v>98</v>
      </c>
      <c r="F27" s="3" t="s">
        <v>68</v>
      </c>
      <c r="G27" s="4" t="s">
        <v>44</v>
      </c>
      <c r="H27" s="1" t="s">
        <v>69</v>
      </c>
      <c r="I27" s="9" t="s">
        <v>97</v>
      </c>
    </row>
    <row r="28" spans="1:9" x14ac:dyDescent="0.25">
      <c r="A28" s="8" t="s">
        <v>97</v>
      </c>
      <c r="B28" s="1" t="s">
        <v>64</v>
      </c>
      <c r="C28" s="1" t="s">
        <v>65</v>
      </c>
      <c r="D28" s="1" t="s">
        <v>66</v>
      </c>
      <c r="E28" s="2" t="s">
        <v>99</v>
      </c>
      <c r="F28" s="3" t="s">
        <v>68</v>
      </c>
      <c r="G28" s="4" t="s">
        <v>15</v>
      </c>
      <c r="H28" s="1" t="s">
        <v>69</v>
      </c>
      <c r="I28" s="9" t="s">
        <v>97</v>
      </c>
    </row>
    <row r="29" spans="1:9" x14ac:dyDescent="0.25">
      <c r="A29" s="8" t="s">
        <v>100</v>
      </c>
      <c r="B29" s="1" t="s">
        <v>101</v>
      </c>
      <c r="C29" s="1" t="s">
        <v>102</v>
      </c>
      <c r="D29" s="1" t="s">
        <v>103</v>
      </c>
      <c r="E29" s="2" t="s">
        <v>104</v>
      </c>
      <c r="F29" s="3" t="s">
        <v>68</v>
      </c>
      <c r="G29" s="4" t="s">
        <v>15</v>
      </c>
      <c r="H29" s="1" t="s">
        <v>105</v>
      </c>
      <c r="I29" s="9" t="s">
        <v>100</v>
      </c>
    </row>
    <row r="30" spans="1:9" x14ac:dyDescent="0.25">
      <c r="A30" s="8" t="s">
        <v>106</v>
      </c>
      <c r="B30" s="1" t="s">
        <v>64</v>
      </c>
      <c r="C30" s="1" t="s">
        <v>72</v>
      </c>
      <c r="D30" s="1" t="s">
        <v>73</v>
      </c>
      <c r="E30" s="2" t="s">
        <v>99</v>
      </c>
      <c r="F30" s="3" t="s">
        <v>68</v>
      </c>
      <c r="G30" s="4" t="s">
        <v>44</v>
      </c>
      <c r="H30" s="1" t="s">
        <v>75</v>
      </c>
      <c r="I30" s="9" t="s">
        <v>106</v>
      </c>
    </row>
    <row r="31" spans="1:9" x14ac:dyDescent="0.25">
      <c r="A31" s="8" t="s">
        <v>106</v>
      </c>
      <c r="B31" s="1" t="s">
        <v>107</v>
      </c>
      <c r="C31" s="1" t="s">
        <v>46</v>
      </c>
      <c r="D31" s="1" t="s">
        <v>108</v>
      </c>
      <c r="E31" s="2" t="s">
        <v>109</v>
      </c>
      <c r="F31" s="3" t="s">
        <v>14</v>
      </c>
      <c r="G31" s="4" t="s">
        <v>15</v>
      </c>
      <c r="H31" s="1" t="s">
        <v>110</v>
      </c>
      <c r="I31" s="9" t="s">
        <v>111</v>
      </c>
    </row>
    <row r="32" spans="1:9" x14ac:dyDescent="0.25">
      <c r="A32" s="8" t="s">
        <v>106</v>
      </c>
      <c r="B32" s="1" t="s">
        <v>76</v>
      </c>
      <c r="C32" s="1" t="s">
        <v>33</v>
      </c>
      <c r="D32" s="1" t="s">
        <v>77</v>
      </c>
      <c r="E32" s="2" t="s">
        <v>78</v>
      </c>
      <c r="F32" s="3" t="s">
        <v>68</v>
      </c>
      <c r="G32" s="4" t="s">
        <v>15</v>
      </c>
      <c r="H32" s="1" t="s">
        <v>79</v>
      </c>
      <c r="I32" s="9" t="s">
        <v>106</v>
      </c>
    </row>
    <row r="33" spans="1:9" x14ac:dyDescent="0.25">
      <c r="A33" s="8" t="s">
        <v>106</v>
      </c>
      <c r="B33" s="1" t="s">
        <v>76</v>
      </c>
      <c r="C33" s="1" t="s">
        <v>33</v>
      </c>
      <c r="D33" s="1" t="s">
        <v>80</v>
      </c>
      <c r="E33" s="2" t="s">
        <v>81</v>
      </c>
      <c r="F33" s="3" t="s">
        <v>68</v>
      </c>
      <c r="G33" s="4" t="s">
        <v>15</v>
      </c>
      <c r="H33" s="1" t="s">
        <v>82</v>
      </c>
      <c r="I33" s="9" t="s">
        <v>106</v>
      </c>
    </row>
    <row r="34" spans="1:9" x14ac:dyDescent="0.25">
      <c r="A34" s="8" t="s">
        <v>106</v>
      </c>
      <c r="B34" s="1" t="s">
        <v>83</v>
      </c>
      <c r="C34" s="1" t="s">
        <v>33</v>
      </c>
      <c r="D34" s="1" t="s">
        <v>84</v>
      </c>
      <c r="E34" s="2" t="s">
        <v>85</v>
      </c>
      <c r="F34" s="3" t="s">
        <v>14</v>
      </c>
      <c r="G34" s="4" t="s">
        <v>15</v>
      </c>
      <c r="H34" s="1" t="s">
        <v>86</v>
      </c>
      <c r="I34" s="9" t="s">
        <v>106</v>
      </c>
    </row>
    <row r="35" spans="1:9" x14ac:dyDescent="0.25">
      <c r="A35" s="8" t="s">
        <v>112</v>
      </c>
      <c r="B35" s="1" t="s">
        <v>113</v>
      </c>
      <c r="C35" s="1" t="s">
        <v>114</v>
      </c>
      <c r="D35" s="1" t="s">
        <v>115</v>
      </c>
      <c r="E35" s="2" t="s">
        <v>116</v>
      </c>
      <c r="F35" s="3" t="s">
        <v>14</v>
      </c>
      <c r="G35" s="4" t="s">
        <v>55</v>
      </c>
      <c r="H35" s="1" t="s">
        <v>117</v>
      </c>
      <c r="I35" s="9" t="s">
        <v>118</v>
      </c>
    </row>
    <row r="36" spans="1:9" x14ac:dyDescent="0.25">
      <c r="A36" s="8" t="s">
        <v>119</v>
      </c>
      <c r="B36" s="1" t="s">
        <v>64</v>
      </c>
      <c r="C36" s="1" t="s">
        <v>39</v>
      </c>
      <c r="D36" s="1" t="s">
        <v>87</v>
      </c>
      <c r="E36" s="2" t="s">
        <v>81</v>
      </c>
      <c r="F36" s="3" t="s">
        <v>68</v>
      </c>
      <c r="G36" s="4" t="s">
        <v>15</v>
      </c>
      <c r="H36" s="1" t="s">
        <v>69</v>
      </c>
      <c r="I36" s="9" t="s">
        <v>119</v>
      </c>
    </row>
    <row r="37" spans="1:9" x14ac:dyDescent="0.25">
      <c r="A37" s="8" t="s">
        <v>119</v>
      </c>
      <c r="B37" s="1" t="s">
        <v>64</v>
      </c>
      <c r="C37" s="1" t="s">
        <v>39</v>
      </c>
      <c r="D37" s="1" t="s">
        <v>87</v>
      </c>
      <c r="E37" s="2" t="s">
        <v>88</v>
      </c>
      <c r="F37" s="3" t="s">
        <v>68</v>
      </c>
      <c r="G37" s="4" t="s">
        <v>55</v>
      </c>
      <c r="H37" s="1" t="s">
        <v>69</v>
      </c>
      <c r="I37" s="9" t="s">
        <v>119</v>
      </c>
    </row>
    <row r="38" spans="1:9" x14ac:dyDescent="0.25">
      <c r="A38" s="8" t="s">
        <v>90</v>
      </c>
      <c r="B38" s="1" t="s">
        <v>19</v>
      </c>
      <c r="C38" s="1" t="s">
        <v>120</v>
      </c>
      <c r="D38" s="1" t="s">
        <v>21</v>
      </c>
      <c r="E38" s="2" t="s">
        <v>22</v>
      </c>
      <c r="F38" s="3" t="s">
        <v>14</v>
      </c>
      <c r="G38" s="4" t="s">
        <v>15</v>
      </c>
      <c r="H38" s="1" t="s">
        <v>23</v>
      </c>
      <c r="I38" s="9" t="s">
        <v>121</v>
      </c>
    </row>
    <row r="39" spans="1:9" x14ac:dyDescent="0.25">
      <c r="A39" s="8" t="s">
        <v>90</v>
      </c>
      <c r="B39" s="1" t="s">
        <v>122</v>
      </c>
      <c r="C39" s="1" t="s">
        <v>46</v>
      </c>
      <c r="D39" s="1" t="s">
        <v>123</v>
      </c>
      <c r="E39" s="2" t="s">
        <v>78</v>
      </c>
      <c r="F39" s="3" t="s">
        <v>14</v>
      </c>
      <c r="G39" s="4" t="s">
        <v>15</v>
      </c>
      <c r="H39" s="1" t="s">
        <v>124</v>
      </c>
      <c r="I39" s="9" t="s">
        <v>121</v>
      </c>
    </row>
    <row r="40" spans="1:9" x14ac:dyDescent="0.25">
      <c r="A40" s="8" t="s">
        <v>125</v>
      </c>
      <c r="B40" s="1" t="s">
        <v>32</v>
      </c>
      <c r="C40" s="1" t="s">
        <v>33</v>
      </c>
      <c r="D40" s="1" t="s">
        <v>34</v>
      </c>
      <c r="E40" s="2" t="s">
        <v>35</v>
      </c>
      <c r="F40" s="3" t="s">
        <v>14</v>
      </c>
      <c r="G40" s="4" t="s">
        <v>15</v>
      </c>
      <c r="H40" s="1" t="s">
        <v>36</v>
      </c>
      <c r="I40" s="9" t="s">
        <v>125</v>
      </c>
    </row>
    <row r="41" spans="1:9" x14ac:dyDescent="0.25">
      <c r="A41" s="8" t="s">
        <v>126</v>
      </c>
      <c r="B41" s="1" t="s">
        <v>127</v>
      </c>
      <c r="C41" s="1" t="s">
        <v>128</v>
      </c>
      <c r="D41" s="1" t="s">
        <v>129</v>
      </c>
      <c r="E41" s="2" t="s">
        <v>130</v>
      </c>
      <c r="F41" s="3" t="s">
        <v>14</v>
      </c>
      <c r="G41" s="4" t="s">
        <v>15</v>
      </c>
      <c r="H41" s="1" t="s">
        <v>62</v>
      </c>
      <c r="I41" s="9" t="s">
        <v>126</v>
      </c>
    </row>
    <row r="42" spans="1:9" x14ac:dyDescent="0.25">
      <c r="A42" s="8" t="s">
        <v>126</v>
      </c>
      <c r="B42" s="1" t="s">
        <v>131</v>
      </c>
      <c r="C42" s="1" t="s">
        <v>46</v>
      </c>
      <c r="D42" s="1" t="s">
        <v>132</v>
      </c>
      <c r="E42" s="2" t="s">
        <v>133</v>
      </c>
      <c r="F42" s="3" t="s">
        <v>14</v>
      </c>
      <c r="G42" s="4" t="s">
        <v>15</v>
      </c>
      <c r="H42" s="1" t="s">
        <v>134</v>
      </c>
      <c r="I42" s="9" t="s">
        <v>135</v>
      </c>
    </row>
    <row r="43" spans="1:9" x14ac:dyDescent="0.25">
      <c r="A43" s="8" t="s">
        <v>136</v>
      </c>
      <c r="B43" s="1" t="s">
        <v>38</v>
      </c>
      <c r="C43" s="1" t="s">
        <v>39</v>
      </c>
      <c r="D43" s="1" t="s">
        <v>40</v>
      </c>
      <c r="E43" s="2" t="s">
        <v>95</v>
      </c>
      <c r="F43" s="3" t="s">
        <v>14</v>
      </c>
      <c r="G43" s="4" t="s">
        <v>15</v>
      </c>
      <c r="H43" s="1" t="s">
        <v>42</v>
      </c>
      <c r="I43" s="9" t="s">
        <v>136</v>
      </c>
    </row>
    <row r="44" spans="1:9" x14ac:dyDescent="0.25">
      <c r="A44" s="8" t="s">
        <v>136</v>
      </c>
      <c r="B44" s="1" t="s">
        <v>38</v>
      </c>
      <c r="C44" s="1" t="s">
        <v>39</v>
      </c>
      <c r="D44" s="1" t="s">
        <v>40</v>
      </c>
      <c r="E44" s="2" t="s">
        <v>43</v>
      </c>
      <c r="F44" s="3" t="s">
        <v>14</v>
      </c>
      <c r="G44" s="4" t="s">
        <v>44</v>
      </c>
      <c r="H44" s="1" t="s">
        <v>42</v>
      </c>
      <c r="I44" s="9" t="s">
        <v>136</v>
      </c>
    </row>
    <row r="45" spans="1:9" x14ac:dyDescent="0.25">
      <c r="A45" s="8" t="s">
        <v>136</v>
      </c>
      <c r="B45" s="1" t="s">
        <v>45</v>
      </c>
      <c r="C45" s="1" t="s">
        <v>46</v>
      </c>
      <c r="D45" s="1" t="s">
        <v>47</v>
      </c>
      <c r="E45" s="2" t="s">
        <v>48</v>
      </c>
      <c r="F45" s="3" t="s">
        <v>14</v>
      </c>
      <c r="G45" s="4" t="s">
        <v>15</v>
      </c>
      <c r="H45" s="1" t="s">
        <v>49</v>
      </c>
      <c r="I45" s="9" t="s">
        <v>137</v>
      </c>
    </row>
    <row r="46" spans="1:9" x14ac:dyDescent="0.25">
      <c r="A46" s="8" t="s">
        <v>138</v>
      </c>
      <c r="B46" s="1" t="s">
        <v>64</v>
      </c>
      <c r="C46" s="1" t="s">
        <v>65</v>
      </c>
      <c r="D46" s="1" t="s">
        <v>66</v>
      </c>
      <c r="E46" s="2" t="s">
        <v>98</v>
      </c>
      <c r="F46" s="3" t="s">
        <v>68</v>
      </c>
      <c r="G46" s="4" t="s">
        <v>44</v>
      </c>
      <c r="H46" s="1" t="s">
        <v>69</v>
      </c>
      <c r="I46" s="9" t="s">
        <v>138</v>
      </c>
    </row>
    <row r="47" spans="1:9" x14ac:dyDescent="0.25">
      <c r="A47" s="8" t="s">
        <v>138</v>
      </c>
      <c r="B47" s="1" t="s">
        <v>64</v>
      </c>
      <c r="C47" s="1" t="s">
        <v>65</v>
      </c>
      <c r="D47" s="1" t="s">
        <v>66</v>
      </c>
      <c r="E47" s="2" t="s">
        <v>99</v>
      </c>
      <c r="F47" s="3" t="s">
        <v>68</v>
      </c>
      <c r="G47" s="4" t="s">
        <v>15</v>
      </c>
      <c r="H47" s="1" t="s">
        <v>69</v>
      </c>
      <c r="I47" s="9" t="s">
        <v>138</v>
      </c>
    </row>
    <row r="48" spans="1:9" x14ac:dyDescent="0.25">
      <c r="A48" s="8" t="s">
        <v>111</v>
      </c>
      <c r="B48" s="1" t="s">
        <v>64</v>
      </c>
      <c r="C48" s="1" t="s">
        <v>72</v>
      </c>
      <c r="D48" s="1" t="s">
        <v>73</v>
      </c>
      <c r="E48" s="2" t="s">
        <v>99</v>
      </c>
      <c r="F48" s="3" t="s">
        <v>68</v>
      </c>
      <c r="G48" s="4" t="s">
        <v>44</v>
      </c>
      <c r="H48" s="1" t="s">
        <v>75</v>
      </c>
      <c r="I48" s="9" t="s">
        <v>111</v>
      </c>
    </row>
    <row r="49" spans="1:9" x14ac:dyDescent="0.25">
      <c r="A49" s="8" t="s">
        <v>111</v>
      </c>
      <c r="B49" s="1" t="s">
        <v>76</v>
      </c>
      <c r="C49" s="1" t="s">
        <v>33</v>
      </c>
      <c r="D49" s="1" t="s">
        <v>77</v>
      </c>
      <c r="E49" s="2" t="s">
        <v>78</v>
      </c>
      <c r="F49" s="3" t="s">
        <v>68</v>
      </c>
      <c r="G49" s="4" t="s">
        <v>15</v>
      </c>
      <c r="H49" s="1" t="s">
        <v>79</v>
      </c>
      <c r="I49" s="9" t="s">
        <v>111</v>
      </c>
    </row>
    <row r="50" spans="1:9" x14ac:dyDescent="0.25">
      <c r="A50" s="10" t="s">
        <v>111</v>
      </c>
      <c r="B50" s="11" t="s">
        <v>76</v>
      </c>
      <c r="C50" s="11" t="s">
        <v>33</v>
      </c>
      <c r="D50" s="11" t="s">
        <v>80</v>
      </c>
      <c r="E50" s="12" t="s">
        <v>81</v>
      </c>
      <c r="F50" s="13" t="s">
        <v>68</v>
      </c>
      <c r="G50" s="14" t="s">
        <v>15</v>
      </c>
      <c r="H50" s="11" t="s">
        <v>82</v>
      </c>
      <c r="I50" s="15" t="s">
        <v>111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A4D40-10D4-4708-B3A7-42DB8A941C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2024-11-16T05:01:01Z</dcterms:created>
  <dcterms:modified xsi:type="dcterms:W3CDTF">2025-01-09T17:19:54Z</dcterms:modified>
</cp:coreProperties>
</file>